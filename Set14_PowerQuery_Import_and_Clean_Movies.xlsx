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Notes" sheetId="1" state="visible" r:id="rId3"/>
    <sheet name="T1_Imported" sheetId="2" state="visible" r:id="rId4"/>
    <sheet name="T2_Blanks_Removed" sheetId="3" state="visible" r:id="rId5"/>
    <sheet name="T3_Data_Types" sheetId="4" state="visible" r:id="rId6"/>
    <sheet name="T4_First_Genre" sheetId="5" state="visible" r:id="rId7"/>
    <sheet name="T5_Loaded_Final" sheetId="6" state="visible" r:id="rId8"/>
    <sheet name="PQ_M_Cod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<sst xmlns="http://schemas.openxmlformats.org/spreadsheetml/2006/main" count="350" uniqueCount="107">
  <si>
    <t xml:space="preserve">Set 14 - Power Query: import and clean a movies CSV</t>
  </si>
  <si>
    <t xml:space="preserve">Each task has its own worksheet (named in the 'Worksheet' column). Sample data is synthetic and created for this assignment.</t>
  </si>
  <si>
    <t xml:space="preserve">Task</t>
  </si>
  <si>
    <t xml:space="preserve">Question (summary)</t>
  </si>
  <si>
    <t xml:space="preserve">Worksheet</t>
  </si>
  <si>
    <t xml:space="preserve">What was done / answer / explanation</t>
  </si>
  <si>
    <t xml:space="preserve">1</t>
  </si>
  <si>
    <t xml:space="preserve">Import Trending_Movies.csv via Power Query and load to a new worksheet.</t>
  </si>
  <si>
    <t xml:space="preserve">T1_Imported</t>
  </si>
  <si>
    <t xml:space="preserve">Data &gt; Get Data &gt; From Text/CSV &gt; Trending_Movies.csv &gt; Transform Data (or Load). Imported 24 rows; 4 movies have a blank IMDb Rating. File: Trending_Movies.csv.</t>
  </si>
  <si>
    <t xml:space="preserve">2</t>
  </si>
  <si>
    <t xml:space="preserve">Remove rows with blank IMDb Rating.</t>
  </si>
  <si>
    <t xml:space="preserve">T2_Blanks_Removed</t>
  </si>
  <si>
    <t xml:space="preserve">In Power Query Editor: column header drop-down on IMDb Rating &gt; untick (null)/(blank), or Home &gt; Remove Rows &gt; Remove Blank Rows. 24 -&gt; 20 rows.</t>
  </si>
  <si>
    <t xml:space="preserve">3</t>
  </si>
  <si>
    <t xml:space="preserve">Release Year -&gt; Whole Number, IMDb Rating -&gt; Decimal Number.</t>
  </si>
  <si>
    <t xml:space="preserve">T3_Data_Types</t>
  </si>
  <si>
    <t xml:space="preserve">Select the column &gt; Transform &gt; Data Type &gt; Whole Number (Release Year) and Decimal Number (IMDb Rating). Numbers are now right-aligned and can be sorted/averaged.</t>
  </si>
  <si>
    <t xml:space="preserve">4</t>
  </si>
  <si>
    <t xml:space="preserve">Keep only the first genre.</t>
  </si>
  <si>
    <t xml:space="preserve">T4_First_Genre</t>
  </si>
  <si>
    <t xml:space="preserve">Select Genre &gt; Home &gt; Split Column &gt; By Delimiter &gt; comma &gt; 'Left-most delimiter' &gt; then delete the Genre.2 column and rename Genre.1 to Genre. (M code uses Text.BeforeDelimiter.) 'Action, Comedy' -&gt; 'Action'.</t>
  </si>
  <si>
    <t xml:space="preserve">5</t>
  </si>
  <si>
    <t xml:space="preserve">Load cleaned data back and verify.</t>
  </si>
  <si>
    <t xml:space="preserve">T5_Loaded_Final</t>
  </si>
  <si>
    <t xml:space="preserve">Home &gt; Close &amp; Load. Verification formulas in G2:G6: all rows have numeric ratings and years, no blank ratings and no genre keeps a comma. M script of the whole query is in PQ_M_Code.</t>
  </si>
  <si>
    <t xml:space="preserve">Title</t>
  </si>
  <si>
    <t xml:space="preserve">Genre</t>
  </si>
  <si>
    <t xml:space="preserve">Release Year</t>
  </si>
  <si>
    <t xml:space="preserve">IMDb Rating</t>
  </si>
  <si>
    <t xml:space="preserve">Dune: Part Two</t>
  </si>
  <si>
    <t xml:space="preserve">Action, Sci-Fi</t>
  </si>
  <si>
    <t xml:space="preserve">2024</t>
  </si>
  <si>
    <t xml:space="preserve">8.5</t>
  </si>
  <si>
    <t xml:space="preserve">Oppenheimer</t>
  </si>
  <si>
    <t xml:space="preserve">Biography, Drama, History</t>
  </si>
  <si>
    <t xml:space="preserve">2023</t>
  </si>
  <si>
    <t xml:space="preserve">8.3</t>
  </si>
  <si>
    <t xml:space="preserve">Pushpa 2</t>
  </si>
  <si>
    <t xml:space="preserve">Action, Drama</t>
  </si>
  <si>
    <t xml:space="preserve">7.1</t>
  </si>
  <si>
    <t xml:space="preserve">Kalki 2898 AD</t>
  </si>
  <si>
    <t xml:space="preserve">Sci-Fi, Action</t>
  </si>
  <si>
    <t xml:space="preserve">Stree 2</t>
  </si>
  <si>
    <t xml:space="preserve">Comedy, Horror</t>
  </si>
  <si>
    <t xml:space="preserve">7.6</t>
  </si>
  <si>
    <t xml:space="preserve">Barbie</t>
  </si>
  <si>
    <t xml:space="preserve">Comedy, Adventure</t>
  </si>
  <si>
    <t xml:space="preserve">6.9</t>
  </si>
  <si>
    <t xml:space="preserve">12th Fail</t>
  </si>
  <si>
    <t xml:space="preserve">Drama, Biography</t>
  </si>
  <si>
    <t xml:space="preserve">8.8</t>
  </si>
  <si>
    <t xml:space="preserve">Animal</t>
  </si>
  <si>
    <t xml:space="preserve">Action, Crime</t>
  </si>
  <si>
    <t xml:space="preserve">6.3</t>
  </si>
  <si>
    <t xml:space="preserve">Laapataa Ladies</t>
  </si>
  <si>
    <t xml:space="preserve">Comedy, Drama</t>
  </si>
  <si>
    <t xml:space="preserve">Fighter</t>
  </si>
  <si>
    <t xml:space="preserve">Action, Thriller</t>
  </si>
  <si>
    <t xml:space="preserve">Jawan</t>
  </si>
  <si>
    <t xml:space="preserve">7.0</t>
  </si>
  <si>
    <t xml:space="preserve">Poor Things</t>
  </si>
  <si>
    <t xml:space="preserve">Comedy, Romance, Sci-Fi</t>
  </si>
  <si>
    <t xml:space="preserve">7.8</t>
  </si>
  <si>
    <t xml:space="preserve">Maharaja</t>
  </si>
  <si>
    <t xml:space="preserve">Crime, Thriller</t>
  </si>
  <si>
    <t xml:space="preserve">Inside Out 2</t>
  </si>
  <si>
    <t xml:space="preserve">Animation, Comedy</t>
  </si>
  <si>
    <t xml:space="preserve">Deadpool &amp; Wolverine</t>
  </si>
  <si>
    <t xml:space="preserve">Action, Comedy</t>
  </si>
  <si>
    <t xml:space="preserve">Article 370</t>
  </si>
  <si>
    <t xml:space="preserve">Drama, Thriller</t>
  </si>
  <si>
    <t xml:space="preserve">Dunki</t>
  </si>
  <si>
    <t xml:space="preserve">6.5</t>
  </si>
  <si>
    <t xml:space="preserve">Merry Christmas</t>
  </si>
  <si>
    <t xml:space="preserve">7.3</t>
  </si>
  <si>
    <t xml:space="preserve">Munjya</t>
  </si>
  <si>
    <t xml:space="preserve">Chhaava</t>
  </si>
  <si>
    <t xml:space="preserve">Action, Biography</t>
  </si>
  <si>
    <t xml:space="preserve">2025</t>
  </si>
  <si>
    <t xml:space="preserve">Sky Force</t>
  </si>
  <si>
    <t xml:space="preserve">Action, War</t>
  </si>
  <si>
    <t xml:space="preserve">Saiyaara</t>
  </si>
  <si>
    <t xml:space="preserve">Drama, Romance</t>
  </si>
  <si>
    <t xml:space="preserve">Kantara: Chapter 1</t>
  </si>
  <si>
    <t xml:space="preserve">Action, Fantasy</t>
  </si>
  <si>
    <t xml:space="preserve">8.2</t>
  </si>
  <si>
    <t xml:space="preserve">Superman</t>
  </si>
  <si>
    <t xml:space="preserve">Action, Adventure, Sci-Fi</t>
  </si>
  <si>
    <t xml:space="preserve">Release Year = Whole Number (1,2,3), IMDb Rating = Decimal Number (1.2)</t>
  </si>
  <si>
    <t xml:space="preserve">Action</t>
  </si>
  <si>
    <t xml:space="preserve">Biography</t>
  </si>
  <si>
    <t xml:space="preserve">Comedy</t>
  </si>
  <si>
    <t xml:space="preserve">Drama</t>
  </si>
  <si>
    <t xml:space="preserve">Crime</t>
  </si>
  <si>
    <t xml:space="preserve">Animation</t>
  </si>
  <si>
    <t xml:space="preserve">Verification</t>
  </si>
  <si>
    <t xml:space="preserve">Rows loaded</t>
  </si>
  <si>
    <t xml:space="preserve">Blank ratings</t>
  </si>
  <si>
    <t xml:space="preserve">Ratings that are numbers</t>
  </si>
  <si>
    <t xml:space="preserve">Years that are numbers</t>
  </si>
  <si>
    <t xml:space="preserve">Genres still containing a comma</t>
  </si>
  <si>
    <t xml:space="preserve">Power Query M code (Home &gt; Advanced Editor &gt; paste, then change the file path)</t>
  </si>
  <si>
    <t xml:space="preserve">Query name</t>
  </si>
  <si>
    <t xml:space="preserve">M code</t>
  </si>
  <si>
    <t xml:space="preserve">Movies (all 5 steps)</t>
  </si>
  <si>
    <t xml:space="preserve">let
    Source = Csv.Document(File.Contents("C:\Users\YourName\Downloads\Trending_Movies.csv"), [Delimiter=",", Columns=4, Encoding=65001, QuoteStyle=QuoteStyle.Csv]),
    PromotedHeaders = Table.PromoteHeaders(Source, [PromoteAllScalars=true]),
    RemovedBlankRatings = Table.SelectRows(PromotedHeaders, each [IMDb Rating] &lt;&gt; null and [IMDb Rating] &lt;&gt; ""),
    ChangedType = Table.TransformColumnTypes(RemovedBlankRatings, {{"Release Year", Int64.Type}, {"IMDb Rating", type number}}),
    FirstGenreOnly = Table.TransformColumns(ChangedType, {{"Genre", each Text.Trim(Text.BeforeDelimiter(_, ",")), type text}})
in
    FirstGenreOnly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</si>
</sst>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"/>
    <numFmt numFmtId="167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22"/>
    <col collapsed="false" customWidth="true" hidden="false" outlineLevel="0" max="4" min="4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3.8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23.8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23.85" hidden="false" customHeight="false" outlineLevel="0" collapsed="false">
      <c r="A7" s="4" t="s">
        <v>14</v>
      </c>
      <c r="B7" s="4" t="s">
        <v>15</v>
      </c>
      <c r="C7" s="4" t="s">
        <v>16</v>
      </c>
      <c r="D7" s="4" t="s">
        <v>17</v>
      </c>
    </row>
    <row r="8" customFormat="false" ht="23.85" hidden="false" customHeight="false" outlineLevel="0" collapsed="false">
      <c r="A8" s="4" t="s">
        <v>18</v>
      </c>
      <c r="B8" s="4" t="s">
        <v>19</v>
      </c>
      <c r="C8" s="4" t="s">
        <v>20</v>
      </c>
      <c r="D8" s="4" t="s">
        <v>21</v>
      </c>
    </row>
    <row r="9" customFormat="false" ht="23.85" hidden="false" customHeight="false" outlineLevel="0" collapsed="false">
      <c r="A9" s="4" t="s">
        <v>22</v>
      </c>
      <c r="B9" s="4" t="s">
        <v>23</v>
      </c>
      <c r="C9" s="4" t="s">
        <v>24</v>
      </c>
      <c r="D9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8"/>
    <col collapsed="false" customWidth="true" hidden="false" outlineLevel="0" max="3" min="3" style="0" width="15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3" t="s">
        <v>26</v>
      </c>
      <c r="B1" s="3" t="s">
        <v>27</v>
      </c>
      <c r="C1" s="3" t="s">
        <v>28</v>
      </c>
      <c r="D1" s="3" t="s">
        <v>29</v>
      </c>
    </row>
    <row r="2" customFormat="false" ht="15" hidden="false" customHeight="false" outlineLevel="0" collapsed="false">
      <c r="A2" s="5" t="s">
        <v>30</v>
      </c>
      <c r="B2" s="5" t="s">
        <v>31</v>
      </c>
      <c r="C2" s="6" t="s">
        <v>32</v>
      </c>
      <c r="D2" s="6" t="s">
        <v>33</v>
      </c>
    </row>
    <row r="3" customFormat="false" ht="15" hidden="false" customHeight="false" outlineLevel="0" collapsed="false">
      <c r="A3" s="5" t="s">
        <v>34</v>
      </c>
      <c r="B3" s="5" t="s">
        <v>35</v>
      </c>
      <c r="C3" s="6" t="s">
        <v>36</v>
      </c>
      <c r="D3" s="6" t="s">
        <v>37</v>
      </c>
    </row>
    <row r="4" customFormat="false" ht="15" hidden="false" customHeight="false" outlineLevel="0" collapsed="false">
      <c r="A4" s="5" t="s">
        <v>38</v>
      </c>
      <c r="B4" s="5" t="s">
        <v>39</v>
      </c>
      <c r="C4" s="6" t="s">
        <v>32</v>
      </c>
      <c r="D4" s="6" t="s">
        <v>40</v>
      </c>
    </row>
    <row r="5" customFormat="false" ht="15" hidden="false" customHeight="false" outlineLevel="0" collapsed="false">
      <c r="A5" s="5" t="s">
        <v>41</v>
      </c>
      <c r="B5" s="5" t="s">
        <v>42</v>
      </c>
      <c r="C5" s="6" t="s">
        <v>32</v>
      </c>
      <c r="D5" s="6"/>
    </row>
    <row r="6" customFormat="false" ht="15" hidden="false" customHeight="false" outlineLevel="0" collapsed="false">
      <c r="A6" s="5" t="s">
        <v>43</v>
      </c>
      <c r="B6" s="5" t="s">
        <v>44</v>
      </c>
      <c r="C6" s="6" t="s">
        <v>32</v>
      </c>
      <c r="D6" s="6" t="s">
        <v>45</v>
      </c>
    </row>
    <row r="7" customFormat="false" ht="15" hidden="false" customHeight="false" outlineLevel="0" collapsed="false">
      <c r="A7" s="5" t="s">
        <v>46</v>
      </c>
      <c r="B7" s="5" t="s">
        <v>47</v>
      </c>
      <c r="C7" s="6" t="s">
        <v>36</v>
      </c>
      <c r="D7" s="6" t="s">
        <v>48</v>
      </c>
    </row>
    <row r="8" customFormat="false" ht="15" hidden="false" customHeight="false" outlineLevel="0" collapsed="false">
      <c r="A8" s="5" t="s">
        <v>49</v>
      </c>
      <c r="B8" s="5" t="s">
        <v>50</v>
      </c>
      <c r="C8" s="6" t="s">
        <v>36</v>
      </c>
      <c r="D8" s="6" t="s">
        <v>51</v>
      </c>
    </row>
    <row r="9" customFormat="false" ht="15" hidden="false" customHeight="false" outlineLevel="0" collapsed="false">
      <c r="A9" s="5" t="s">
        <v>52</v>
      </c>
      <c r="B9" s="5" t="s">
        <v>53</v>
      </c>
      <c r="C9" s="6" t="s">
        <v>36</v>
      </c>
      <c r="D9" s="6" t="s">
        <v>54</v>
      </c>
    </row>
    <row r="10" customFormat="false" ht="15" hidden="false" customHeight="false" outlineLevel="0" collapsed="false">
      <c r="A10" s="5" t="s">
        <v>55</v>
      </c>
      <c r="B10" s="5" t="s">
        <v>56</v>
      </c>
      <c r="C10" s="6" t="s">
        <v>36</v>
      </c>
      <c r="D10" s="6" t="s">
        <v>37</v>
      </c>
    </row>
    <row r="11" customFormat="false" ht="15" hidden="false" customHeight="false" outlineLevel="0" collapsed="false">
      <c r="A11" s="5" t="s">
        <v>57</v>
      </c>
      <c r="B11" s="5" t="s">
        <v>58</v>
      </c>
      <c r="C11" s="6" t="s">
        <v>32</v>
      </c>
      <c r="D11" s="6"/>
    </row>
    <row r="12" customFormat="false" ht="15" hidden="false" customHeight="false" outlineLevel="0" collapsed="false">
      <c r="A12" s="5" t="s">
        <v>59</v>
      </c>
      <c r="B12" s="5" t="s">
        <v>58</v>
      </c>
      <c r="C12" s="6" t="s">
        <v>36</v>
      </c>
      <c r="D12" s="6" t="s">
        <v>60</v>
      </c>
    </row>
    <row r="13" customFormat="false" ht="15" hidden="false" customHeight="false" outlineLevel="0" collapsed="false">
      <c r="A13" s="5" t="s">
        <v>61</v>
      </c>
      <c r="B13" s="5" t="s">
        <v>62</v>
      </c>
      <c r="C13" s="6" t="s">
        <v>36</v>
      </c>
      <c r="D13" s="6" t="s">
        <v>63</v>
      </c>
    </row>
    <row r="14" customFormat="false" ht="15" hidden="false" customHeight="false" outlineLevel="0" collapsed="false">
      <c r="A14" s="5" t="s">
        <v>64</v>
      </c>
      <c r="B14" s="5" t="s">
        <v>65</v>
      </c>
      <c r="C14" s="6" t="s">
        <v>32</v>
      </c>
      <c r="D14" s="6" t="s">
        <v>33</v>
      </c>
    </row>
    <row r="15" customFormat="false" ht="15" hidden="false" customHeight="false" outlineLevel="0" collapsed="false">
      <c r="A15" s="5" t="s">
        <v>66</v>
      </c>
      <c r="B15" s="5" t="s">
        <v>67</v>
      </c>
      <c r="C15" s="6" t="s">
        <v>32</v>
      </c>
      <c r="D15" s="6" t="s">
        <v>45</v>
      </c>
    </row>
    <row r="16" customFormat="false" ht="15" hidden="false" customHeight="false" outlineLevel="0" collapsed="false">
      <c r="A16" s="5" t="s">
        <v>68</v>
      </c>
      <c r="B16" s="5" t="s">
        <v>69</v>
      </c>
      <c r="C16" s="6" t="s">
        <v>32</v>
      </c>
      <c r="D16" s="6" t="s">
        <v>45</v>
      </c>
    </row>
    <row r="17" customFormat="false" ht="15" hidden="false" customHeight="false" outlineLevel="0" collapsed="false">
      <c r="A17" s="5" t="s">
        <v>70</v>
      </c>
      <c r="B17" s="5" t="s">
        <v>71</v>
      </c>
      <c r="C17" s="6" t="s">
        <v>32</v>
      </c>
      <c r="D17" s="6"/>
    </row>
    <row r="18" customFormat="false" ht="15" hidden="false" customHeight="false" outlineLevel="0" collapsed="false">
      <c r="A18" s="5" t="s">
        <v>72</v>
      </c>
      <c r="B18" s="5" t="s">
        <v>56</v>
      </c>
      <c r="C18" s="6" t="s">
        <v>36</v>
      </c>
      <c r="D18" s="6" t="s">
        <v>73</v>
      </c>
    </row>
    <row r="19" customFormat="false" ht="15" hidden="false" customHeight="false" outlineLevel="0" collapsed="false">
      <c r="A19" s="5" t="s">
        <v>74</v>
      </c>
      <c r="B19" s="5" t="s">
        <v>65</v>
      </c>
      <c r="C19" s="6" t="s">
        <v>32</v>
      </c>
      <c r="D19" s="6" t="s">
        <v>75</v>
      </c>
    </row>
    <row r="20" customFormat="false" ht="15" hidden="false" customHeight="false" outlineLevel="0" collapsed="false">
      <c r="A20" s="5" t="s">
        <v>76</v>
      </c>
      <c r="B20" s="5" t="s">
        <v>44</v>
      </c>
      <c r="C20" s="6" t="s">
        <v>32</v>
      </c>
      <c r="D20" s="6" t="s">
        <v>48</v>
      </c>
    </row>
    <row r="21" customFormat="false" ht="15" hidden="false" customHeight="false" outlineLevel="0" collapsed="false">
      <c r="A21" s="5" t="s">
        <v>77</v>
      </c>
      <c r="B21" s="5" t="s">
        <v>78</v>
      </c>
      <c r="C21" s="6" t="s">
        <v>79</v>
      </c>
      <c r="D21" s="6" t="s">
        <v>75</v>
      </c>
    </row>
    <row r="22" customFormat="false" ht="15" hidden="false" customHeight="false" outlineLevel="0" collapsed="false">
      <c r="A22" s="5" t="s">
        <v>80</v>
      </c>
      <c r="B22" s="5" t="s">
        <v>81</v>
      </c>
      <c r="C22" s="6" t="s">
        <v>79</v>
      </c>
      <c r="D22" s="6"/>
    </row>
    <row r="23" customFormat="false" ht="15" hidden="false" customHeight="false" outlineLevel="0" collapsed="false">
      <c r="A23" s="5" t="s">
        <v>82</v>
      </c>
      <c r="B23" s="5" t="s">
        <v>83</v>
      </c>
      <c r="C23" s="6" t="s">
        <v>79</v>
      </c>
      <c r="D23" s="6" t="s">
        <v>40</v>
      </c>
    </row>
    <row r="24" customFormat="false" ht="15" hidden="false" customHeight="false" outlineLevel="0" collapsed="false">
      <c r="A24" s="5" t="s">
        <v>84</v>
      </c>
      <c r="B24" s="5" t="s">
        <v>85</v>
      </c>
      <c r="C24" s="6" t="s">
        <v>79</v>
      </c>
      <c r="D24" s="6" t="s">
        <v>86</v>
      </c>
    </row>
    <row r="25" customFormat="false" ht="15" hidden="false" customHeight="false" outlineLevel="0" collapsed="false">
      <c r="A25" s="5" t="s">
        <v>87</v>
      </c>
      <c r="B25" s="5" t="s">
        <v>88</v>
      </c>
      <c r="C25" s="6" t="s">
        <v>79</v>
      </c>
      <c r="D25" s="6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8"/>
    <col collapsed="false" customWidth="true" hidden="false" outlineLevel="0" max="3" min="3" style="0" width="15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3" t="s">
        <v>26</v>
      </c>
      <c r="B1" s="3" t="s">
        <v>27</v>
      </c>
      <c r="C1" s="3" t="s">
        <v>28</v>
      </c>
      <c r="D1" s="3" t="s">
        <v>29</v>
      </c>
    </row>
    <row r="2" customFormat="false" ht="15" hidden="false" customHeight="false" outlineLevel="0" collapsed="false">
      <c r="A2" s="5" t="s">
        <v>30</v>
      </c>
      <c r="B2" s="5" t="s">
        <v>31</v>
      </c>
      <c r="C2" s="5" t="s">
        <v>32</v>
      </c>
      <c r="D2" s="5" t="s">
        <v>33</v>
      </c>
    </row>
    <row r="3" customFormat="false" ht="15" hidden="false" customHeight="false" outlineLevel="0" collapsed="false">
      <c r="A3" s="5" t="s">
        <v>34</v>
      </c>
      <c r="B3" s="5" t="s">
        <v>35</v>
      </c>
      <c r="C3" s="5" t="s">
        <v>36</v>
      </c>
      <c r="D3" s="5" t="s">
        <v>37</v>
      </c>
    </row>
    <row r="4" customFormat="false" ht="15" hidden="false" customHeight="false" outlineLevel="0" collapsed="false">
      <c r="A4" s="5" t="s">
        <v>38</v>
      </c>
      <c r="B4" s="5" t="s">
        <v>39</v>
      </c>
      <c r="C4" s="5" t="s">
        <v>32</v>
      </c>
      <c r="D4" s="5" t="s">
        <v>40</v>
      </c>
    </row>
    <row r="5" customFormat="false" ht="15" hidden="false" customHeight="false" outlineLevel="0" collapsed="false">
      <c r="A5" s="5" t="s">
        <v>43</v>
      </c>
      <c r="B5" s="5" t="s">
        <v>44</v>
      </c>
      <c r="C5" s="5" t="s">
        <v>32</v>
      </c>
      <c r="D5" s="5" t="s">
        <v>45</v>
      </c>
    </row>
    <row r="6" customFormat="false" ht="15" hidden="false" customHeight="false" outlineLevel="0" collapsed="false">
      <c r="A6" s="5" t="s">
        <v>46</v>
      </c>
      <c r="B6" s="5" t="s">
        <v>47</v>
      </c>
      <c r="C6" s="5" t="s">
        <v>36</v>
      </c>
      <c r="D6" s="5" t="s">
        <v>48</v>
      </c>
    </row>
    <row r="7" customFormat="false" ht="15" hidden="false" customHeight="false" outlineLevel="0" collapsed="false">
      <c r="A7" s="5" t="s">
        <v>49</v>
      </c>
      <c r="B7" s="5" t="s">
        <v>50</v>
      </c>
      <c r="C7" s="5" t="s">
        <v>36</v>
      </c>
      <c r="D7" s="5" t="s">
        <v>51</v>
      </c>
    </row>
    <row r="8" customFormat="false" ht="15" hidden="false" customHeight="false" outlineLevel="0" collapsed="false">
      <c r="A8" s="5" t="s">
        <v>52</v>
      </c>
      <c r="B8" s="5" t="s">
        <v>53</v>
      </c>
      <c r="C8" s="5" t="s">
        <v>36</v>
      </c>
      <c r="D8" s="5" t="s">
        <v>54</v>
      </c>
    </row>
    <row r="9" customFormat="false" ht="15" hidden="false" customHeight="false" outlineLevel="0" collapsed="false">
      <c r="A9" s="5" t="s">
        <v>55</v>
      </c>
      <c r="B9" s="5" t="s">
        <v>56</v>
      </c>
      <c r="C9" s="5" t="s">
        <v>36</v>
      </c>
      <c r="D9" s="5" t="s">
        <v>37</v>
      </c>
    </row>
    <row r="10" customFormat="false" ht="15" hidden="false" customHeight="false" outlineLevel="0" collapsed="false">
      <c r="A10" s="5" t="s">
        <v>59</v>
      </c>
      <c r="B10" s="5" t="s">
        <v>58</v>
      </c>
      <c r="C10" s="5" t="s">
        <v>36</v>
      </c>
      <c r="D10" s="5" t="s">
        <v>60</v>
      </c>
    </row>
    <row r="11" customFormat="false" ht="15" hidden="false" customHeight="false" outlineLevel="0" collapsed="false">
      <c r="A11" s="5" t="s">
        <v>61</v>
      </c>
      <c r="B11" s="5" t="s">
        <v>62</v>
      </c>
      <c r="C11" s="5" t="s">
        <v>36</v>
      </c>
      <c r="D11" s="5" t="s">
        <v>63</v>
      </c>
    </row>
    <row r="12" customFormat="false" ht="15" hidden="false" customHeight="false" outlineLevel="0" collapsed="false">
      <c r="A12" s="5" t="s">
        <v>64</v>
      </c>
      <c r="B12" s="5" t="s">
        <v>65</v>
      </c>
      <c r="C12" s="5" t="s">
        <v>32</v>
      </c>
      <c r="D12" s="5" t="s">
        <v>33</v>
      </c>
    </row>
    <row r="13" customFormat="false" ht="15" hidden="false" customHeight="false" outlineLevel="0" collapsed="false">
      <c r="A13" s="5" t="s">
        <v>66</v>
      </c>
      <c r="B13" s="5" t="s">
        <v>67</v>
      </c>
      <c r="C13" s="5" t="s">
        <v>32</v>
      </c>
      <c r="D13" s="5" t="s">
        <v>45</v>
      </c>
    </row>
    <row r="14" customFormat="false" ht="15" hidden="false" customHeight="false" outlineLevel="0" collapsed="false">
      <c r="A14" s="5" t="s">
        <v>68</v>
      </c>
      <c r="B14" s="5" t="s">
        <v>69</v>
      </c>
      <c r="C14" s="5" t="s">
        <v>32</v>
      </c>
      <c r="D14" s="5" t="s">
        <v>45</v>
      </c>
    </row>
    <row r="15" customFormat="false" ht="15" hidden="false" customHeight="false" outlineLevel="0" collapsed="false">
      <c r="A15" s="5" t="s">
        <v>72</v>
      </c>
      <c r="B15" s="5" t="s">
        <v>56</v>
      </c>
      <c r="C15" s="5" t="s">
        <v>36</v>
      </c>
      <c r="D15" s="5" t="s">
        <v>73</v>
      </c>
    </row>
    <row r="16" customFormat="false" ht="15" hidden="false" customHeight="false" outlineLevel="0" collapsed="false">
      <c r="A16" s="5" t="s">
        <v>74</v>
      </c>
      <c r="B16" s="5" t="s">
        <v>65</v>
      </c>
      <c r="C16" s="5" t="s">
        <v>32</v>
      </c>
      <c r="D16" s="5" t="s">
        <v>75</v>
      </c>
    </row>
    <row r="17" customFormat="false" ht="15" hidden="false" customHeight="false" outlineLevel="0" collapsed="false">
      <c r="A17" s="5" t="s">
        <v>76</v>
      </c>
      <c r="B17" s="5" t="s">
        <v>44</v>
      </c>
      <c r="C17" s="5" t="s">
        <v>32</v>
      </c>
      <c r="D17" s="5" t="s">
        <v>48</v>
      </c>
    </row>
    <row r="18" customFormat="false" ht="15" hidden="false" customHeight="false" outlineLevel="0" collapsed="false">
      <c r="A18" s="5" t="s">
        <v>77</v>
      </c>
      <c r="B18" s="5" t="s">
        <v>78</v>
      </c>
      <c r="C18" s="5" t="s">
        <v>79</v>
      </c>
      <c r="D18" s="5" t="s">
        <v>75</v>
      </c>
    </row>
    <row r="19" customFormat="false" ht="15" hidden="false" customHeight="false" outlineLevel="0" collapsed="false">
      <c r="A19" s="5" t="s">
        <v>82</v>
      </c>
      <c r="B19" s="5" t="s">
        <v>83</v>
      </c>
      <c r="C19" s="5" t="s">
        <v>79</v>
      </c>
      <c r="D19" s="5" t="s">
        <v>40</v>
      </c>
    </row>
    <row r="20" customFormat="false" ht="15" hidden="false" customHeight="false" outlineLevel="0" collapsed="false">
      <c r="A20" s="5" t="s">
        <v>84</v>
      </c>
      <c r="B20" s="5" t="s">
        <v>85</v>
      </c>
      <c r="C20" s="5" t="s">
        <v>79</v>
      </c>
      <c r="D20" s="5" t="s">
        <v>86</v>
      </c>
    </row>
    <row r="21" customFormat="false" ht="15" hidden="false" customHeight="false" outlineLevel="0" collapsed="false">
      <c r="A21" s="5" t="s">
        <v>87</v>
      </c>
      <c r="B21" s="5" t="s">
        <v>88</v>
      </c>
      <c r="C21" s="5" t="s">
        <v>79</v>
      </c>
      <c r="D21" s="5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8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6" min="6" style="0" width="45"/>
  </cols>
  <sheetData>
    <row r="1" customFormat="false" ht="15" hidden="false" customHeight="false" outlineLevel="0" collapsed="false">
      <c r="A1" s="3" t="s">
        <v>26</v>
      </c>
      <c r="B1" s="3" t="s">
        <v>27</v>
      </c>
      <c r="C1" s="3" t="s">
        <v>28</v>
      </c>
      <c r="D1" s="3" t="s">
        <v>29</v>
      </c>
      <c r="F1" s="7" t="s">
        <v>89</v>
      </c>
    </row>
    <row r="2" customFormat="false" ht="15" hidden="false" customHeight="false" outlineLevel="0" collapsed="false">
      <c r="A2" s="5" t="s">
        <v>30</v>
      </c>
      <c r="B2" s="5" t="s">
        <v>31</v>
      </c>
      <c r="C2" s="8" t="n">
        <v>2024</v>
      </c>
      <c r="D2" s="9" t="n">
        <v>8.5</v>
      </c>
    </row>
    <row r="3" customFormat="false" ht="15" hidden="false" customHeight="false" outlineLevel="0" collapsed="false">
      <c r="A3" s="5" t="s">
        <v>34</v>
      </c>
      <c r="B3" s="5" t="s">
        <v>35</v>
      </c>
      <c r="C3" s="8" t="n">
        <v>2023</v>
      </c>
      <c r="D3" s="9" t="n">
        <v>8.3</v>
      </c>
    </row>
    <row r="4" customFormat="false" ht="15" hidden="false" customHeight="false" outlineLevel="0" collapsed="false">
      <c r="A4" s="5" t="s">
        <v>38</v>
      </c>
      <c r="B4" s="5" t="s">
        <v>39</v>
      </c>
      <c r="C4" s="8" t="n">
        <v>2024</v>
      </c>
      <c r="D4" s="9" t="n">
        <v>7.1</v>
      </c>
    </row>
    <row r="5" customFormat="false" ht="15" hidden="false" customHeight="false" outlineLevel="0" collapsed="false">
      <c r="A5" s="5" t="s">
        <v>43</v>
      </c>
      <c r="B5" s="5" t="s">
        <v>44</v>
      </c>
      <c r="C5" s="8" t="n">
        <v>2024</v>
      </c>
      <c r="D5" s="9" t="n">
        <v>7.6</v>
      </c>
    </row>
    <row r="6" customFormat="false" ht="15" hidden="false" customHeight="false" outlineLevel="0" collapsed="false">
      <c r="A6" s="5" t="s">
        <v>46</v>
      </c>
      <c r="B6" s="5" t="s">
        <v>47</v>
      </c>
      <c r="C6" s="8" t="n">
        <v>2023</v>
      </c>
      <c r="D6" s="9" t="n">
        <v>6.9</v>
      </c>
    </row>
    <row r="7" customFormat="false" ht="15" hidden="false" customHeight="false" outlineLevel="0" collapsed="false">
      <c r="A7" s="5" t="s">
        <v>49</v>
      </c>
      <c r="B7" s="5" t="s">
        <v>50</v>
      </c>
      <c r="C7" s="8" t="n">
        <v>2023</v>
      </c>
      <c r="D7" s="9" t="n">
        <v>8.8</v>
      </c>
    </row>
    <row r="8" customFormat="false" ht="15" hidden="false" customHeight="false" outlineLevel="0" collapsed="false">
      <c r="A8" s="5" t="s">
        <v>52</v>
      </c>
      <c r="B8" s="5" t="s">
        <v>53</v>
      </c>
      <c r="C8" s="8" t="n">
        <v>2023</v>
      </c>
      <c r="D8" s="9" t="n">
        <v>6.3</v>
      </c>
    </row>
    <row r="9" customFormat="false" ht="15" hidden="false" customHeight="false" outlineLevel="0" collapsed="false">
      <c r="A9" s="5" t="s">
        <v>55</v>
      </c>
      <c r="B9" s="5" t="s">
        <v>56</v>
      </c>
      <c r="C9" s="8" t="n">
        <v>2023</v>
      </c>
      <c r="D9" s="9" t="n">
        <v>8.3</v>
      </c>
    </row>
    <row r="10" customFormat="false" ht="15" hidden="false" customHeight="false" outlineLevel="0" collapsed="false">
      <c r="A10" s="5" t="s">
        <v>59</v>
      </c>
      <c r="B10" s="5" t="s">
        <v>58</v>
      </c>
      <c r="C10" s="8" t="n">
        <v>2023</v>
      </c>
      <c r="D10" s="9" t="n">
        <v>7</v>
      </c>
    </row>
    <row r="11" customFormat="false" ht="15" hidden="false" customHeight="false" outlineLevel="0" collapsed="false">
      <c r="A11" s="5" t="s">
        <v>61</v>
      </c>
      <c r="B11" s="5" t="s">
        <v>62</v>
      </c>
      <c r="C11" s="8" t="n">
        <v>2023</v>
      </c>
      <c r="D11" s="9" t="n">
        <v>7.8</v>
      </c>
    </row>
    <row r="12" customFormat="false" ht="15" hidden="false" customHeight="false" outlineLevel="0" collapsed="false">
      <c r="A12" s="5" t="s">
        <v>64</v>
      </c>
      <c r="B12" s="5" t="s">
        <v>65</v>
      </c>
      <c r="C12" s="8" t="n">
        <v>2024</v>
      </c>
      <c r="D12" s="9" t="n">
        <v>8.5</v>
      </c>
    </row>
    <row r="13" customFormat="false" ht="15" hidden="false" customHeight="false" outlineLevel="0" collapsed="false">
      <c r="A13" s="5" t="s">
        <v>66</v>
      </c>
      <c r="B13" s="5" t="s">
        <v>67</v>
      </c>
      <c r="C13" s="8" t="n">
        <v>2024</v>
      </c>
      <c r="D13" s="9" t="n">
        <v>7.6</v>
      </c>
    </row>
    <row r="14" customFormat="false" ht="15" hidden="false" customHeight="false" outlineLevel="0" collapsed="false">
      <c r="A14" s="5" t="s">
        <v>68</v>
      </c>
      <c r="B14" s="5" t="s">
        <v>69</v>
      </c>
      <c r="C14" s="8" t="n">
        <v>2024</v>
      </c>
      <c r="D14" s="9" t="n">
        <v>7.6</v>
      </c>
    </row>
    <row r="15" customFormat="false" ht="15" hidden="false" customHeight="false" outlineLevel="0" collapsed="false">
      <c r="A15" s="5" t="s">
        <v>72</v>
      </c>
      <c r="B15" s="5" t="s">
        <v>56</v>
      </c>
      <c r="C15" s="8" t="n">
        <v>2023</v>
      </c>
      <c r="D15" s="9" t="n">
        <v>6.5</v>
      </c>
    </row>
    <row r="16" customFormat="false" ht="15" hidden="false" customHeight="false" outlineLevel="0" collapsed="false">
      <c r="A16" s="5" t="s">
        <v>74</v>
      </c>
      <c r="B16" s="5" t="s">
        <v>65</v>
      </c>
      <c r="C16" s="8" t="n">
        <v>2024</v>
      </c>
      <c r="D16" s="9" t="n">
        <v>7.3</v>
      </c>
    </row>
    <row r="17" customFormat="false" ht="15" hidden="false" customHeight="false" outlineLevel="0" collapsed="false">
      <c r="A17" s="5" t="s">
        <v>76</v>
      </c>
      <c r="B17" s="5" t="s">
        <v>44</v>
      </c>
      <c r="C17" s="8" t="n">
        <v>2024</v>
      </c>
      <c r="D17" s="9" t="n">
        <v>6.9</v>
      </c>
    </row>
    <row r="18" customFormat="false" ht="15" hidden="false" customHeight="false" outlineLevel="0" collapsed="false">
      <c r="A18" s="5" t="s">
        <v>77</v>
      </c>
      <c r="B18" s="5" t="s">
        <v>78</v>
      </c>
      <c r="C18" s="8" t="n">
        <v>2025</v>
      </c>
      <c r="D18" s="9" t="n">
        <v>7.3</v>
      </c>
    </row>
    <row r="19" customFormat="false" ht="15" hidden="false" customHeight="false" outlineLevel="0" collapsed="false">
      <c r="A19" s="5" t="s">
        <v>82</v>
      </c>
      <c r="B19" s="5" t="s">
        <v>83</v>
      </c>
      <c r="C19" s="8" t="n">
        <v>2025</v>
      </c>
      <c r="D19" s="9" t="n">
        <v>7.1</v>
      </c>
    </row>
    <row r="20" customFormat="false" ht="15" hidden="false" customHeight="false" outlineLevel="0" collapsed="false">
      <c r="A20" s="5" t="s">
        <v>84</v>
      </c>
      <c r="B20" s="5" t="s">
        <v>85</v>
      </c>
      <c r="C20" s="8" t="n">
        <v>2025</v>
      </c>
      <c r="D20" s="9" t="n">
        <v>8.2</v>
      </c>
    </row>
    <row r="21" customFormat="false" ht="15" hidden="false" customHeight="false" outlineLevel="0" collapsed="false">
      <c r="A21" s="5" t="s">
        <v>87</v>
      </c>
      <c r="B21" s="5" t="s">
        <v>88</v>
      </c>
      <c r="C21" s="8" t="n">
        <v>2025</v>
      </c>
      <c r="D21" s="9" t="n">
        <v>7.1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3" t="s">
        <v>26</v>
      </c>
      <c r="B1" s="3" t="s">
        <v>27</v>
      </c>
      <c r="C1" s="3" t="s">
        <v>28</v>
      </c>
      <c r="D1" s="3" t="s">
        <v>29</v>
      </c>
    </row>
    <row r="2" customFormat="false" ht="15" hidden="false" customHeight="false" outlineLevel="0" collapsed="false">
      <c r="A2" s="5" t="s">
        <v>30</v>
      </c>
      <c r="B2" s="5" t="s">
        <v>90</v>
      </c>
      <c r="C2" s="8" t="n">
        <v>2024</v>
      </c>
      <c r="D2" s="9" t="n">
        <v>8.5</v>
      </c>
    </row>
    <row r="3" customFormat="false" ht="15" hidden="false" customHeight="false" outlineLevel="0" collapsed="false">
      <c r="A3" s="5" t="s">
        <v>34</v>
      </c>
      <c r="B3" s="5" t="s">
        <v>91</v>
      </c>
      <c r="C3" s="8" t="n">
        <v>2023</v>
      </c>
      <c r="D3" s="9" t="n">
        <v>8.3</v>
      </c>
    </row>
    <row r="4" customFormat="false" ht="15" hidden="false" customHeight="false" outlineLevel="0" collapsed="false">
      <c r="A4" s="5" t="s">
        <v>38</v>
      </c>
      <c r="B4" s="5" t="s">
        <v>90</v>
      </c>
      <c r="C4" s="8" t="n">
        <v>2024</v>
      </c>
      <c r="D4" s="9" t="n">
        <v>7.1</v>
      </c>
    </row>
    <row r="5" customFormat="false" ht="15" hidden="false" customHeight="false" outlineLevel="0" collapsed="false">
      <c r="A5" s="5" t="s">
        <v>43</v>
      </c>
      <c r="B5" s="5" t="s">
        <v>92</v>
      </c>
      <c r="C5" s="8" t="n">
        <v>2024</v>
      </c>
      <c r="D5" s="9" t="n">
        <v>7.6</v>
      </c>
    </row>
    <row r="6" customFormat="false" ht="15" hidden="false" customHeight="false" outlineLevel="0" collapsed="false">
      <c r="A6" s="5" t="s">
        <v>46</v>
      </c>
      <c r="B6" s="5" t="s">
        <v>92</v>
      </c>
      <c r="C6" s="8" t="n">
        <v>2023</v>
      </c>
      <c r="D6" s="9" t="n">
        <v>6.9</v>
      </c>
    </row>
    <row r="7" customFormat="false" ht="15" hidden="false" customHeight="false" outlineLevel="0" collapsed="false">
      <c r="A7" s="5" t="s">
        <v>49</v>
      </c>
      <c r="B7" s="5" t="s">
        <v>93</v>
      </c>
      <c r="C7" s="8" t="n">
        <v>2023</v>
      </c>
      <c r="D7" s="9" t="n">
        <v>8.8</v>
      </c>
    </row>
    <row r="8" customFormat="false" ht="15" hidden="false" customHeight="false" outlineLevel="0" collapsed="false">
      <c r="A8" s="5" t="s">
        <v>52</v>
      </c>
      <c r="B8" s="5" t="s">
        <v>90</v>
      </c>
      <c r="C8" s="8" t="n">
        <v>2023</v>
      </c>
      <c r="D8" s="9" t="n">
        <v>6.3</v>
      </c>
    </row>
    <row r="9" customFormat="false" ht="15" hidden="false" customHeight="false" outlineLevel="0" collapsed="false">
      <c r="A9" s="5" t="s">
        <v>55</v>
      </c>
      <c r="B9" s="5" t="s">
        <v>92</v>
      </c>
      <c r="C9" s="8" t="n">
        <v>2023</v>
      </c>
      <c r="D9" s="9" t="n">
        <v>8.3</v>
      </c>
    </row>
    <row r="10" customFormat="false" ht="15" hidden="false" customHeight="false" outlineLevel="0" collapsed="false">
      <c r="A10" s="5" t="s">
        <v>59</v>
      </c>
      <c r="B10" s="5" t="s">
        <v>90</v>
      </c>
      <c r="C10" s="8" t="n">
        <v>2023</v>
      </c>
      <c r="D10" s="9" t="n">
        <v>7</v>
      </c>
    </row>
    <row r="11" customFormat="false" ht="15" hidden="false" customHeight="false" outlineLevel="0" collapsed="false">
      <c r="A11" s="5" t="s">
        <v>61</v>
      </c>
      <c r="B11" s="5" t="s">
        <v>92</v>
      </c>
      <c r="C11" s="8" t="n">
        <v>2023</v>
      </c>
      <c r="D11" s="9" t="n">
        <v>7.8</v>
      </c>
    </row>
    <row r="12" customFormat="false" ht="15" hidden="false" customHeight="false" outlineLevel="0" collapsed="false">
      <c r="A12" s="5" t="s">
        <v>64</v>
      </c>
      <c r="B12" s="5" t="s">
        <v>94</v>
      </c>
      <c r="C12" s="8" t="n">
        <v>2024</v>
      </c>
      <c r="D12" s="9" t="n">
        <v>8.5</v>
      </c>
    </row>
    <row r="13" customFormat="false" ht="15" hidden="false" customHeight="false" outlineLevel="0" collapsed="false">
      <c r="A13" s="5" t="s">
        <v>66</v>
      </c>
      <c r="B13" s="5" t="s">
        <v>95</v>
      </c>
      <c r="C13" s="8" t="n">
        <v>2024</v>
      </c>
      <c r="D13" s="9" t="n">
        <v>7.6</v>
      </c>
    </row>
    <row r="14" customFormat="false" ht="15" hidden="false" customHeight="false" outlineLevel="0" collapsed="false">
      <c r="A14" s="5" t="s">
        <v>68</v>
      </c>
      <c r="B14" s="5" t="s">
        <v>90</v>
      </c>
      <c r="C14" s="8" t="n">
        <v>2024</v>
      </c>
      <c r="D14" s="9" t="n">
        <v>7.6</v>
      </c>
    </row>
    <row r="15" customFormat="false" ht="15" hidden="false" customHeight="false" outlineLevel="0" collapsed="false">
      <c r="A15" s="5" t="s">
        <v>72</v>
      </c>
      <c r="B15" s="5" t="s">
        <v>92</v>
      </c>
      <c r="C15" s="8" t="n">
        <v>2023</v>
      </c>
      <c r="D15" s="9" t="n">
        <v>6.5</v>
      </c>
    </row>
    <row r="16" customFormat="false" ht="15" hidden="false" customHeight="false" outlineLevel="0" collapsed="false">
      <c r="A16" s="5" t="s">
        <v>74</v>
      </c>
      <c r="B16" s="5" t="s">
        <v>94</v>
      </c>
      <c r="C16" s="8" t="n">
        <v>2024</v>
      </c>
      <c r="D16" s="9" t="n">
        <v>7.3</v>
      </c>
    </row>
    <row r="17" customFormat="false" ht="15" hidden="false" customHeight="false" outlineLevel="0" collapsed="false">
      <c r="A17" s="5" t="s">
        <v>76</v>
      </c>
      <c r="B17" s="5" t="s">
        <v>92</v>
      </c>
      <c r="C17" s="8" t="n">
        <v>2024</v>
      </c>
      <c r="D17" s="9" t="n">
        <v>6.9</v>
      </c>
    </row>
    <row r="18" customFormat="false" ht="15" hidden="false" customHeight="false" outlineLevel="0" collapsed="false">
      <c r="A18" s="5" t="s">
        <v>77</v>
      </c>
      <c r="B18" s="5" t="s">
        <v>90</v>
      </c>
      <c r="C18" s="8" t="n">
        <v>2025</v>
      </c>
      <c r="D18" s="9" t="n">
        <v>7.3</v>
      </c>
    </row>
    <row r="19" customFormat="false" ht="15" hidden="false" customHeight="false" outlineLevel="0" collapsed="false">
      <c r="A19" s="5" t="s">
        <v>82</v>
      </c>
      <c r="B19" s="5" t="s">
        <v>93</v>
      </c>
      <c r="C19" s="8" t="n">
        <v>2025</v>
      </c>
      <c r="D19" s="9" t="n">
        <v>7.1</v>
      </c>
    </row>
    <row r="20" customFormat="false" ht="15" hidden="false" customHeight="false" outlineLevel="0" collapsed="false">
      <c r="A20" s="5" t="s">
        <v>84</v>
      </c>
      <c r="B20" s="5" t="s">
        <v>90</v>
      </c>
      <c r="C20" s="8" t="n">
        <v>2025</v>
      </c>
      <c r="D20" s="9" t="n">
        <v>8.2</v>
      </c>
    </row>
    <row r="21" customFormat="false" ht="15" hidden="false" customHeight="false" outlineLevel="0" collapsed="false">
      <c r="A21" s="5" t="s">
        <v>87</v>
      </c>
      <c r="B21" s="5" t="s">
        <v>90</v>
      </c>
      <c r="C21" s="8" t="n">
        <v>2025</v>
      </c>
      <c r="D21" s="9" t="n">
        <v>7.1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6" min="6" style="0" width="34"/>
    <col collapsed="false" customWidth="true" hidden="false" outlineLevel="0" max="7" min="7" style="0" width="17"/>
  </cols>
  <sheetData>
    <row r="1" customFormat="false" ht="15" hidden="false" customHeight="false" outlineLevel="0" collapsed="false">
      <c r="A1" s="3" t="s">
        <v>26</v>
      </c>
      <c r="B1" s="3" t="s">
        <v>27</v>
      </c>
      <c r="C1" s="3" t="s">
        <v>28</v>
      </c>
      <c r="D1" s="3" t="s">
        <v>29</v>
      </c>
      <c r="F1" s="10" t="s">
        <v>96</v>
      </c>
    </row>
    <row r="2" customFormat="false" ht="15" hidden="false" customHeight="false" outlineLevel="0" collapsed="false">
      <c r="A2" s="5" t="s">
        <v>30</v>
      </c>
      <c r="B2" s="5" t="s">
        <v>90</v>
      </c>
      <c r="C2" s="8" t="n">
        <v>2024</v>
      </c>
      <c r="D2" s="9" t="n">
        <v>8.5</v>
      </c>
      <c r="F2" s="7" t="s">
        <v>97</v>
      </c>
      <c r="G2" s="7" t="n">
        <f aca="false">COUNTA(A2:A21)</f>
        <v>20</v>
      </c>
    </row>
    <row r="3" customFormat="false" ht="15" hidden="false" customHeight="false" outlineLevel="0" collapsed="false">
      <c r="A3" s="5" t="s">
        <v>34</v>
      </c>
      <c r="B3" s="5" t="s">
        <v>91</v>
      </c>
      <c r="C3" s="8" t="n">
        <v>2023</v>
      </c>
      <c r="D3" s="9" t="n">
        <v>8.3</v>
      </c>
      <c r="F3" s="7" t="s">
        <v>98</v>
      </c>
      <c r="G3" s="7" t="n">
        <f aca="false">COUNTBLANK(D2:D21)</f>
        <v>0</v>
      </c>
    </row>
    <row r="4" customFormat="false" ht="15" hidden="false" customHeight="false" outlineLevel="0" collapsed="false">
      <c r="A4" s="5" t="s">
        <v>38</v>
      </c>
      <c r="B4" s="5" t="s">
        <v>90</v>
      </c>
      <c r="C4" s="8" t="n">
        <v>2024</v>
      </c>
      <c r="D4" s="9" t="n">
        <v>7.1</v>
      </c>
      <c r="F4" s="7" t="s">
        <v>99</v>
      </c>
      <c r="G4" s="7" t="n">
        <f aca="false">COUNT(D2:D21)</f>
        <v>20</v>
      </c>
    </row>
    <row r="5" customFormat="false" ht="15" hidden="false" customHeight="false" outlineLevel="0" collapsed="false">
      <c r="A5" s="5" t="s">
        <v>43</v>
      </c>
      <c r="B5" s="5" t="s">
        <v>92</v>
      </c>
      <c r="C5" s="8" t="n">
        <v>2024</v>
      </c>
      <c r="D5" s="9" t="n">
        <v>7.6</v>
      </c>
      <c r="F5" s="7" t="s">
        <v>100</v>
      </c>
      <c r="G5" s="7" t="n">
        <f aca="false">COUNT(C2:C21)</f>
        <v>20</v>
      </c>
    </row>
    <row r="6" customFormat="false" ht="15" hidden="false" customHeight="false" outlineLevel="0" collapsed="false">
      <c r="A6" s="5" t="s">
        <v>46</v>
      </c>
      <c r="B6" s="5" t="s">
        <v>92</v>
      </c>
      <c r="C6" s="8" t="n">
        <v>2023</v>
      </c>
      <c r="D6" s="9" t="n">
        <v>6.9</v>
      </c>
      <c r="F6" s="7" t="s">
        <v>101</v>
      </c>
      <c r="G6" s="7" t="n">
        <f aca="false">SUMPRODUCT(--ISNUMBER(SEARCH(",",B2:B21)))</f>
        <v>0</v>
      </c>
    </row>
    <row r="7" customFormat="false" ht="15" hidden="false" customHeight="false" outlineLevel="0" collapsed="false">
      <c r="A7" s="5" t="s">
        <v>49</v>
      </c>
      <c r="B7" s="5" t="s">
        <v>93</v>
      </c>
      <c r="C7" s="8" t="n">
        <v>2023</v>
      </c>
      <c r="D7" s="9" t="n">
        <v>8.8</v>
      </c>
    </row>
    <row r="8" customFormat="false" ht="15" hidden="false" customHeight="false" outlineLevel="0" collapsed="false">
      <c r="A8" s="5" t="s">
        <v>52</v>
      </c>
      <c r="B8" s="5" t="s">
        <v>90</v>
      </c>
      <c r="C8" s="8" t="n">
        <v>2023</v>
      </c>
      <c r="D8" s="9" t="n">
        <v>6.3</v>
      </c>
    </row>
    <row r="9" customFormat="false" ht="15" hidden="false" customHeight="false" outlineLevel="0" collapsed="false">
      <c r="A9" s="5" t="s">
        <v>55</v>
      </c>
      <c r="B9" s="5" t="s">
        <v>92</v>
      </c>
      <c r="C9" s="8" t="n">
        <v>2023</v>
      </c>
      <c r="D9" s="9" t="n">
        <v>8.3</v>
      </c>
    </row>
    <row r="10" customFormat="false" ht="15" hidden="false" customHeight="false" outlineLevel="0" collapsed="false">
      <c r="A10" s="5" t="s">
        <v>59</v>
      </c>
      <c r="B10" s="5" t="s">
        <v>90</v>
      </c>
      <c r="C10" s="8" t="n">
        <v>2023</v>
      </c>
      <c r="D10" s="9" t="n">
        <v>7</v>
      </c>
    </row>
    <row r="11" customFormat="false" ht="15" hidden="false" customHeight="false" outlineLevel="0" collapsed="false">
      <c r="A11" s="5" t="s">
        <v>61</v>
      </c>
      <c r="B11" s="5" t="s">
        <v>92</v>
      </c>
      <c r="C11" s="8" t="n">
        <v>2023</v>
      </c>
      <c r="D11" s="9" t="n">
        <v>7.8</v>
      </c>
    </row>
    <row r="12" customFormat="false" ht="15" hidden="false" customHeight="false" outlineLevel="0" collapsed="false">
      <c r="A12" s="5" t="s">
        <v>64</v>
      </c>
      <c r="B12" s="5" t="s">
        <v>94</v>
      </c>
      <c r="C12" s="8" t="n">
        <v>2024</v>
      </c>
      <c r="D12" s="9" t="n">
        <v>8.5</v>
      </c>
    </row>
    <row r="13" customFormat="false" ht="15" hidden="false" customHeight="false" outlineLevel="0" collapsed="false">
      <c r="A13" s="5" t="s">
        <v>66</v>
      </c>
      <c r="B13" s="5" t="s">
        <v>95</v>
      </c>
      <c r="C13" s="8" t="n">
        <v>2024</v>
      </c>
      <c r="D13" s="9" t="n">
        <v>7.6</v>
      </c>
    </row>
    <row r="14" customFormat="false" ht="15" hidden="false" customHeight="false" outlineLevel="0" collapsed="false">
      <c r="A14" s="5" t="s">
        <v>68</v>
      </c>
      <c r="B14" s="5" t="s">
        <v>90</v>
      </c>
      <c r="C14" s="8" t="n">
        <v>2024</v>
      </c>
      <c r="D14" s="9" t="n">
        <v>7.6</v>
      </c>
    </row>
    <row r="15" customFormat="false" ht="15" hidden="false" customHeight="false" outlineLevel="0" collapsed="false">
      <c r="A15" s="5" t="s">
        <v>72</v>
      </c>
      <c r="B15" s="5" t="s">
        <v>92</v>
      </c>
      <c r="C15" s="8" t="n">
        <v>2023</v>
      </c>
      <c r="D15" s="9" t="n">
        <v>6.5</v>
      </c>
    </row>
    <row r="16" customFormat="false" ht="15" hidden="false" customHeight="false" outlineLevel="0" collapsed="false">
      <c r="A16" s="5" t="s">
        <v>74</v>
      </c>
      <c r="B16" s="5" t="s">
        <v>94</v>
      </c>
      <c r="C16" s="8" t="n">
        <v>2024</v>
      </c>
      <c r="D16" s="9" t="n">
        <v>7.3</v>
      </c>
    </row>
    <row r="17" customFormat="false" ht="15" hidden="false" customHeight="false" outlineLevel="0" collapsed="false">
      <c r="A17" s="5" t="s">
        <v>76</v>
      </c>
      <c r="B17" s="5" t="s">
        <v>92</v>
      </c>
      <c r="C17" s="8" t="n">
        <v>2024</v>
      </c>
      <c r="D17" s="9" t="n">
        <v>6.9</v>
      </c>
    </row>
    <row r="18" customFormat="false" ht="15" hidden="false" customHeight="false" outlineLevel="0" collapsed="false">
      <c r="A18" s="5" t="s">
        <v>77</v>
      </c>
      <c r="B18" s="5" t="s">
        <v>90</v>
      </c>
      <c r="C18" s="8" t="n">
        <v>2025</v>
      </c>
      <c r="D18" s="9" t="n">
        <v>7.3</v>
      </c>
    </row>
    <row r="19" customFormat="false" ht="15" hidden="false" customHeight="false" outlineLevel="0" collapsed="false">
      <c r="A19" s="5" t="s">
        <v>82</v>
      </c>
      <c r="B19" s="5" t="s">
        <v>93</v>
      </c>
      <c r="C19" s="8" t="n">
        <v>2025</v>
      </c>
      <c r="D19" s="9" t="n">
        <v>7.1</v>
      </c>
    </row>
    <row r="20" customFormat="false" ht="15" hidden="false" customHeight="false" outlineLevel="0" collapsed="false">
      <c r="A20" s="5" t="s">
        <v>84</v>
      </c>
      <c r="B20" s="5" t="s">
        <v>90</v>
      </c>
      <c r="C20" s="8" t="n">
        <v>2025</v>
      </c>
      <c r="D20" s="9" t="n">
        <v>8.2</v>
      </c>
    </row>
    <row r="21" customFormat="false" ht="15" hidden="false" customHeight="false" outlineLevel="0" collapsed="false">
      <c r="A21" s="5" t="s">
        <v>87</v>
      </c>
      <c r="B21" s="5" t="s">
        <v>90</v>
      </c>
      <c r="C21" s="8" t="n">
        <v>2025</v>
      </c>
      <c r="D21" s="9" t="n">
        <v>7.1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0"/>
  </cols>
  <sheetData>
    <row r="1" customFormat="false" ht="15" hidden="false" customHeight="false" outlineLevel="0" collapsed="false">
      <c r="A1" s="11" t="s">
        <v>102</v>
      </c>
    </row>
    <row r="3" customFormat="false" ht="15" hidden="false" customHeight="false" outlineLevel="0" collapsed="false">
      <c r="A3" s="3" t="s">
        <v>103</v>
      </c>
      <c r="B3" s="3" t="s">
        <v>104</v>
      </c>
    </row>
    <row r="4" customFormat="false" ht="135" hidden="false" customHeight="true" outlineLevel="0" collapsed="false">
      <c r="A4" s="12" t="s">
        <v>105</v>
      </c>
      <c r="B4" s="13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2026-10-02T08:52:38Z</dcterms:created>
  <dc:creator>openpyxl</dc:creator>
  <dc:description/>
  <dc:language>en-US</dc:language>
  <cp:lastModifiedBy/>
  <dcterms:modified xsi:type="dcterms:W3CDTF">2026-10-02T08:52:38Z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