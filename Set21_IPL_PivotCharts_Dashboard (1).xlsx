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sk Notes" sheetId="1" state="visible" r:id="rId3"/>
    <sheet name="Data" sheetId="2" state="visible" r:id="rId4"/>
    <sheet name="T1_Matches_by_Team" sheetId="3" state="visible" r:id="rId5"/>
    <sheet name="T2_Venue_Filter" sheetId="4" state="visible" r:id="rId6"/>
    <sheet name="T3_Timeline_Filter" sheetId="5" state="visible" r:id="rId7"/>
    <sheet name="T4_Dashboard" sheetId="6" state="visible" r:id="rId8"/>
    <sheet name="T5_Wins_per_Year" sheetId="7" state="visible" r:id="rId9"/>
    <sheet name="T1_Pivot" sheetId="8" state="visible" r:id="rId10"/>
  </sheet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<sst xmlns="http://schemas.openxmlformats.org/spreadsheetml/2006/main" count="1077" uniqueCount="196">
  <si>
    <t xml:space="preserve">Set 21 - IPL analysis: pivot chart, venue filter, timeline filter, dashboard, wins per year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</si>
  <si>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</si>
  <si>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</si>
  <si>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</si>
  <si>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</si>
  <si>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</si>
  <si>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</si>
  <si>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PivotChart: total matches played by each team.</t>
  </si>
  <si>
    <t xml:space="preserve">T1_Matches_by_Team / T1_Pivot</t>
  </si>
  <si>
    <t xml:space="preserve">Data holds one row per team per match (Match ID, Date, Season, Team, Venue, Result; synthetic). Real PivotTable on T1_Pivot (Team in Rows, Count of Match ID); T1_Matches_by_Team reproduces it with COUNTIFS and feeds the column chart.</t>
  </si>
  <si>
    <t xml:space="preserve">2</t>
  </si>
  <si>
    <t xml:space="preserve">Slicer on Venue for the PivotChart.</t>
  </si>
  <si>
    <t xml:space="preserve">T2_Venue_Filter</t>
  </si>
  <si>
    <t xml:space="preserve">Choose a venue in B1: matches, wins and win % per team plus the chart update. Real slicer in Excel: click the PivotChart &gt; PivotChart Analyze &gt; Insert Slicer &gt; Venue.</t>
  </si>
  <si>
    <t xml:space="preserve">3</t>
  </si>
  <si>
    <t xml:space="preserve">Timeline slicer on Match Date.</t>
  </si>
  <si>
    <t xml:space="preserve">T3_Timeline_Filter</t>
  </si>
  <si>
    <t xml:space="preserve">Enter From / To dates (B1:B2) to analyse any season or month range; counts update via COUNTIFS date criteria. Real timeline in Excel: PivotTable Analyze &gt; Insert Timeline &gt; Match Date.</t>
  </si>
  <si>
    <t xml:space="preserve">4</t>
  </si>
  <si>
    <t xml:space="preserve">Interactive dashboard: wins bar chart + matches-over-time line chart, linked to same Venue and Timeline filters.</t>
  </si>
  <si>
    <t xml:space="preserve">T4_Dashboard</t>
  </si>
  <si>
    <t xml:space="preserve">One Venue drop-down (C4) and one From/To date pair (H4, K4) feed both helper tables, so the bar chart and the line chart always change together. Snapshot: Set21_Dashboard.jpg. (Matches per month divided by 2 because each match has two rows.)</t>
  </si>
  <si>
    <t xml:space="preserve">5</t>
  </si>
  <si>
    <t xml:space="preserve">Matches won by each team per year; highlight top team each year.</t>
  </si>
  <si>
    <t xml:space="preserve">T5_Wins_per_Year</t>
  </si>
  <si>
    <t xml:space="preserve">COUNTIFS by team x season; conditional formatting highlights the maximum of each year's column in gold, and the clustered column chart compares years.</t>
  </si>
  <si>
    <t xml:space="preserve">Match ID</t>
  </si>
  <si>
    <t xml:space="preserve">Match Date</t>
  </si>
  <si>
    <t xml:space="preserve">Season</t>
  </si>
  <si>
    <t xml:space="preserve">Team</t>
  </si>
  <si>
    <t xml:space="preserve">Venue</t>
  </si>
  <si>
    <t xml:space="preserve">Result</t>
  </si>
  <si>
    <t xml:space="preserve">M2024-03</t>
  </si>
  <si>
    <t xml:space="preserve">Royal Challengers</t>
  </si>
  <si>
    <t xml:space="preserve">Narendra Modi Stadium</t>
  </si>
  <si>
    <t xml:space="preserve">Win</t>
  </si>
  <si>
    <t xml:space="preserve">Rajasthan Royals</t>
  </si>
  <si>
    <t xml:space="preserve">Loss</t>
  </si>
  <si>
    <t xml:space="preserve">M2024-21</t>
  </si>
  <si>
    <t xml:space="preserve">Gujarat Titans</t>
  </si>
  <si>
    <t xml:space="preserve">MA Chidambaram Stadium</t>
  </si>
  <si>
    <t xml:space="preserve">Delhi Capitals</t>
  </si>
  <si>
    <t xml:space="preserve">M2024-31</t>
  </si>
  <si>
    <t xml:space="preserve">M Chinnaswamy Stadium</t>
  </si>
  <si>
    <t xml:space="preserve">M2024-08</t>
  </si>
  <si>
    <t xml:space="preserve">Mumbai Indians</t>
  </si>
  <si>
    <t xml:space="preserve">M2024-11</t>
  </si>
  <si>
    <t xml:space="preserve">M2024-34</t>
  </si>
  <si>
    <t xml:space="preserve">Wankhede Stadium</t>
  </si>
  <si>
    <t xml:space="preserve">M2024-30</t>
  </si>
  <si>
    <t xml:space="preserve">Sunrisers Hyderabad</t>
  </si>
  <si>
    <t xml:space="preserve">Eden Gardens</t>
  </si>
  <si>
    <t xml:space="preserve">M2024-04</t>
  </si>
  <si>
    <t xml:space="preserve">Chennai Super Kings</t>
  </si>
  <si>
    <t xml:space="preserve">M2024-26</t>
  </si>
  <si>
    <t xml:space="preserve">M2024-35</t>
  </si>
  <si>
    <t xml:space="preserve">M2024-07</t>
  </si>
  <si>
    <t xml:space="preserve">Arun Jaitley Stadium</t>
  </si>
  <si>
    <t xml:space="preserve">M2024-17</t>
  </si>
  <si>
    <t xml:space="preserve">M2024-25</t>
  </si>
  <si>
    <t xml:space="preserve">M2024-19</t>
  </si>
  <si>
    <t xml:space="preserve">M2024-28</t>
  </si>
  <si>
    <t xml:space="preserve">M2024-37</t>
  </si>
  <si>
    <t xml:space="preserve">M2024-10</t>
  </si>
  <si>
    <t xml:space="preserve">M2024-20</t>
  </si>
  <si>
    <t xml:space="preserve">M2024-22</t>
  </si>
  <si>
    <t xml:space="preserve">M2024-27</t>
  </si>
  <si>
    <t xml:space="preserve">M2024-24</t>
  </si>
  <si>
    <t xml:space="preserve">Kolkata Knight Riders</t>
  </si>
  <si>
    <t xml:space="preserve">M2024-36</t>
  </si>
  <si>
    <t xml:space="preserve">M2024-18</t>
  </si>
  <si>
    <t xml:space="preserve">M2024-16</t>
  </si>
  <si>
    <t xml:space="preserve">M2024-32</t>
  </si>
  <si>
    <t xml:space="preserve">M2024-12</t>
  </si>
  <si>
    <t xml:space="preserve">M2024-13</t>
  </si>
  <si>
    <t xml:space="preserve">M2024-38</t>
  </si>
  <si>
    <t xml:space="preserve">M2024-14</t>
  </si>
  <si>
    <t xml:space="preserve">M2024-33</t>
  </si>
  <si>
    <t xml:space="preserve">M2024-05</t>
  </si>
  <si>
    <t xml:space="preserve">M2024-23</t>
  </si>
  <si>
    <t xml:space="preserve">M2024-01</t>
  </si>
  <si>
    <t xml:space="preserve">M2024-29</t>
  </si>
  <si>
    <t xml:space="preserve">M2024-40</t>
  </si>
  <si>
    <t xml:space="preserve">M2024-02</t>
  </si>
  <si>
    <t xml:space="preserve">M2024-09</t>
  </si>
  <si>
    <t xml:space="preserve">M2024-06</t>
  </si>
  <si>
    <t xml:space="preserve">M2024-15</t>
  </si>
  <si>
    <t xml:space="preserve">M2024-39</t>
  </si>
  <si>
    <t xml:space="preserve">M2025-17</t>
  </si>
  <si>
    <t xml:space="preserve">M2025-02</t>
  </si>
  <si>
    <t xml:space="preserve">M2025-36</t>
  </si>
  <si>
    <t xml:space="preserve">M2025-39</t>
  </si>
  <si>
    <t xml:space="preserve">M2025-10</t>
  </si>
  <si>
    <t xml:space="preserve">M2025-28</t>
  </si>
  <si>
    <t xml:space="preserve">M2025-04</t>
  </si>
  <si>
    <t xml:space="preserve">M2025-18</t>
  </si>
  <si>
    <t xml:space="preserve">M2025-30</t>
  </si>
  <si>
    <t xml:space="preserve">M2025-20</t>
  </si>
  <si>
    <t xml:space="preserve">M2025-26</t>
  </si>
  <si>
    <t xml:space="preserve">M2025-21</t>
  </si>
  <si>
    <t xml:space="preserve">M2025-27</t>
  </si>
  <si>
    <t xml:space="preserve">M2025-01</t>
  </si>
  <si>
    <t xml:space="preserve">M2025-11</t>
  </si>
  <si>
    <t xml:space="preserve">M2025-40</t>
  </si>
  <si>
    <t xml:space="preserve">M2025-03</t>
  </si>
  <si>
    <t xml:space="preserve">M2025-19</t>
  </si>
  <si>
    <t xml:space="preserve">M2025-38</t>
  </si>
  <si>
    <t xml:space="preserve">M2025-05</t>
  </si>
  <si>
    <t xml:space="preserve">M2025-06</t>
  </si>
  <si>
    <t xml:space="preserve">M2025-13</t>
  </si>
  <si>
    <t xml:space="preserve">M2025-37</t>
  </si>
  <si>
    <t xml:space="preserve">M2025-31</t>
  </si>
  <si>
    <t xml:space="preserve">M2025-24</t>
  </si>
  <si>
    <t xml:space="preserve">M2025-07</t>
  </si>
  <si>
    <t xml:space="preserve">M2025-33</t>
  </si>
  <si>
    <t xml:space="preserve">M2025-12</t>
  </si>
  <si>
    <t xml:space="preserve">M2025-25</t>
  </si>
  <si>
    <t xml:space="preserve">M2025-32</t>
  </si>
  <si>
    <t xml:space="preserve">M2025-35</t>
  </si>
  <si>
    <t xml:space="preserve">M2025-09</t>
  </si>
  <si>
    <t xml:space="preserve">M2025-29</t>
  </si>
  <si>
    <t xml:space="preserve">M2025-08</t>
  </si>
  <si>
    <t xml:space="preserve">M2025-15</t>
  </si>
  <si>
    <t xml:space="preserve">M2025-34</t>
  </si>
  <si>
    <t xml:space="preserve">M2025-14</t>
  </si>
  <si>
    <t xml:space="preserve">M2025-16</t>
  </si>
  <si>
    <t xml:space="preserve">M2025-23</t>
  </si>
  <si>
    <t xml:space="preserve">M2025-22</t>
  </si>
  <si>
    <t xml:space="preserve">M2026-07</t>
  </si>
  <si>
    <t xml:space="preserve">M2026-15</t>
  </si>
  <si>
    <t xml:space="preserve">M2026-02</t>
  </si>
  <si>
    <t xml:space="preserve">M2026-25</t>
  </si>
  <si>
    <t xml:space="preserve">M2026-27</t>
  </si>
  <si>
    <t xml:space="preserve">M2026-08</t>
  </si>
  <si>
    <t xml:space="preserve">M2026-35</t>
  </si>
  <si>
    <t xml:space="preserve">M2026-30</t>
  </si>
  <si>
    <t xml:space="preserve">M2026-34</t>
  </si>
  <si>
    <t xml:space="preserve">M2026-11</t>
  </si>
  <si>
    <t xml:space="preserve">M2026-18</t>
  </si>
  <si>
    <t xml:space="preserve">M2026-12</t>
  </si>
  <si>
    <t xml:space="preserve">M2026-36</t>
  </si>
  <si>
    <t xml:space="preserve">M2026-03</t>
  </si>
  <si>
    <t xml:space="preserve">M2026-28</t>
  </si>
  <si>
    <t xml:space="preserve">M2026-10</t>
  </si>
  <si>
    <t xml:space="preserve">M2026-23</t>
  </si>
  <si>
    <t xml:space="preserve">M2026-31</t>
  </si>
  <si>
    <t xml:space="preserve">M2026-26</t>
  </si>
  <si>
    <t xml:space="preserve">M2026-29</t>
  </si>
  <si>
    <t xml:space="preserve">M2026-33</t>
  </si>
  <si>
    <t xml:space="preserve">M2026-38</t>
  </si>
  <si>
    <t xml:space="preserve">M2026-09</t>
  </si>
  <si>
    <t xml:space="preserve">M2026-13</t>
  </si>
  <si>
    <t xml:space="preserve">M2026-14</t>
  </si>
  <si>
    <t xml:space="preserve">M2026-06</t>
  </si>
  <si>
    <t xml:space="preserve">M2026-16</t>
  </si>
  <si>
    <t xml:space="preserve">M2026-37</t>
  </si>
  <si>
    <t xml:space="preserve">M2026-19</t>
  </si>
  <si>
    <t xml:space="preserve">M2026-22</t>
  </si>
  <si>
    <t xml:space="preserve">M2026-04</t>
  </si>
  <si>
    <t xml:space="preserve">M2026-17</t>
  </si>
  <si>
    <t xml:space="preserve">M2026-21</t>
  </si>
  <si>
    <t xml:space="preserve">M2026-20</t>
  </si>
  <si>
    <t xml:space="preserve">M2026-40</t>
  </si>
  <si>
    <t xml:space="preserve">M2026-24</t>
  </si>
  <si>
    <t xml:space="preserve">M2026-01</t>
  </si>
  <si>
    <t xml:space="preserve">M2026-32</t>
  </si>
  <si>
    <t xml:space="preserve">M2026-05</t>
  </si>
  <si>
    <t xml:space="preserve">M2026-39</t>
  </si>
  <si>
    <t xml:space="preserve">Matches played</t>
  </si>
  <si>
    <t xml:space="preserve">Wins</t>
  </si>
  <si>
    <t xml:space="preserve">Venue (slicer substitute):</t>
  </si>
  <si>
    <t xml:space="preserve">All Venues</t>
  </si>
  <si>
    <t xml:space="preserve">criteria -&gt;</t>
  </si>
  <si>
    <t xml:space="preserve">Matches played at venue</t>
  </si>
  <si>
    <t xml:space="preserve">Wins at venue</t>
  </si>
  <si>
    <t xml:space="preserve">Win %</t>
  </si>
  <si>
    <t xml:space="preserve">From date:</t>
  </si>
  <si>
    <t xml:space="preserve">Tip: type 01-Mar-2024 / 31-May-2024 for season 2024, 2025 dates for season 2025, etc. (timeline substitute)</t>
  </si>
  <si>
    <t xml:space="preserve">To date:</t>
  </si>
  <si>
    <t xml:space="preserve">Matches in period</t>
  </si>
  <si>
    <t xml:space="preserve">Wins in period</t>
  </si>
  <si>
    <t xml:space="preserve">IPL DASHBOARD  |  Venue + Timeline filters drive both charts</t>
  </si>
  <si>
    <t xml:space="preserve">Venue:</t>
  </si>
  <si>
    <t xml:space="preserve">From:</t>
  </si>
  <si>
    <t xml:space="preserve">To:</t>
  </si>
  <si>
    <t xml:space="preserve">Wins by team (feeds bar chart)</t>
  </si>
  <si>
    <t xml:space="preserve">Matches played over time (feeds line chart)</t>
  </si>
  <si>
    <t xml:space="preserve">Matches</t>
  </si>
  <si>
    <t xml:space="preserve">Month</t>
  </si>
  <si>
    <t xml:space="preserve">2024</t>
  </si>
  <si>
    <t xml:space="preserve">2025</t>
  </si>
  <si>
    <t xml:space="preserve">2026</t>
  </si>
  <si>
    <t xml:space="preserve">Gold cells = team(s) with the most wins in that year (conditional formatting rule =B2=MAX(B$2:B$9)).</t>
  </si>
  <si>
    <t xml:space="preserve">Filter</t>
  </si>
  <si>
    <t xml:space="preserve">Count - Match ID</t>
  </si>
  <si>
    <t xml:space="preserve">Grand 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</si>
</sst>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0%"/>
    <numFmt numFmtId="167" formatCode="mmm\-yy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8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ont>
        <b val="1"/>
        <color rgb="FFC00000"/>
      </font>
      <fill>
        <patternFill>
          <bgColor rgb="FFFFD96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BBB59"/>
      <rgbColor rgb="FFFFCC00"/>
      <rgbColor rgb="FFFF9900"/>
      <rgbColor rgb="FFC55A11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Matches played by team (2024-2026)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T1_Matches_by_Team!B1</c:f>
              <c:strCache>
                <c:ptCount val="1"/>
                <c:pt idx="0">
                  <c:v>Matches played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T1_Matches_by_Team!$A$2:$A$9</c:f>
              <c:strCache>
                <c:ptCount val="8"/>
                <c:pt idx="0">
                  <c:v>Chennai Super Kings</c:v>
                </c:pt>
                <c:pt idx="1">
                  <c:v>Mumbai Indians</c:v>
                </c:pt>
                <c:pt idx="2">
                  <c:v>Gujarat Titans</c:v>
                </c:pt>
                <c:pt idx="3">
                  <c:v>Royal Challengers</c:v>
                </c:pt>
                <c:pt idx="4">
                  <c:v>Kolkata Knight Riders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Sunrisers Hyderabad</c:v>
                </c:pt>
              </c:strCache>
            </c:strRef>
          </c:cat>
          <c:val>
            <c:numRef>
              <c:f>T1_Matches_by_Team!$B$2:$B$9</c:f>
              <c:numCache>
                <c:formatCode>General</c:formatCode>
                <c:ptCount val="8"/>
                <c:pt idx="0">
                  <c:v>32</c:v>
                </c:pt>
                <c:pt idx="1">
                  <c:v>29</c:v>
                </c:pt>
                <c:pt idx="2">
                  <c:v>22</c:v>
                </c:pt>
                <c:pt idx="3">
                  <c:v>34</c:v>
                </c:pt>
                <c:pt idx="4">
                  <c:v>27</c:v>
                </c:pt>
                <c:pt idx="5">
                  <c:v>39</c:v>
                </c:pt>
                <c:pt idx="6">
                  <c:v>29</c:v>
                </c:pt>
                <c:pt idx="7">
                  <c:v>28</c:v>
                </c:pt>
              </c:numCache>
            </c:numRef>
          </c:val>
        </c:ser>
        <c:gapWidth val="150"/>
        <c:overlap val="0"/>
        <c:axId val="90759918"/>
        <c:axId val="29817442"/>
      </c:barChart>
      <c:catAx>
        <c:axId val="90759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17442"/>
        <c:crosses val="autoZero"/>
        <c:auto val="1"/>
        <c:lblAlgn val="ctr"/>
        <c:lblOffset val="100"/>
        <c:noMultiLvlLbl val="0"/>
      </c:catAx>
      <c:valAx>
        <c:axId val="29817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599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Matches played - selected 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T2_Venue_Filter!B3</c:f>
              <c:strCache>
                <c:ptCount val="1"/>
                <c:pt idx="0">
                  <c:v>Matches played at venue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T2_Venue_Filter!$A$4:$A$11</c:f>
              <c:strCache>
                <c:ptCount val="8"/>
                <c:pt idx="0">
                  <c:v>Chennai Super Kings</c:v>
                </c:pt>
                <c:pt idx="1">
                  <c:v>Mumbai Indians</c:v>
                </c:pt>
                <c:pt idx="2">
                  <c:v>Gujarat Titans</c:v>
                </c:pt>
                <c:pt idx="3">
                  <c:v>Royal Challengers</c:v>
                </c:pt>
                <c:pt idx="4">
                  <c:v>Kolkata Knight Riders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Sunrisers Hyderabad</c:v>
                </c:pt>
              </c:strCache>
            </c:strRef>
          </c:cat>
          <c:val>
            <c:numRef>
              <c:f>T2_Venue_Filter!$B$4:$B$11</c:f>
              <c:numCache>
                <c:formatCode>General</c:formatCode>
                <c:ptCount val="8"/>
                <c:pt idx="0">
                  <c:v>32</c:v>
                </c:pt>
                <c:pt idx="1">
                  <c:v>29</c:v>
                </c:pt>
                <c:pt idx="2">
                  <c:v>22</c:v>
                </c:pt>
                <c:pt idx="3">
                  <c:v>34</c:v>
                </c:pt>
                <c:pt idx="4">
                  <c:v>27</c:v>
                </c:pt>
                <c:pt idx="5">
                  <c:v>39</c:v>
                </c:pt>
                <c:pt idx="6">
                  <c:v>29</c:v>
                </c:pt>
                <c:pt idx="7">
                  <c:v>28</c:v>
                </c:pt>
              </c:numCache>
            </c:numRef>
          </c:val>
        </c:ser>
        <c:gapWidth val="150"/>
        <c:overlap val="0"/>
        <c:axId val="41797045"/>
        <c:axId val="39378768"/>
      </c:barChart>
      <c:catAx>
        <c:axId val="41797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78768"/>
        <c:crosses val="autoZero"/>
        <c:auto val="1"/>
        <c:lblAlgn val="ctr"/>
        <c:lblOffset val="100"/>
        <c:noMultiLvlLbl val="0"/>
      </c:catAx>
      <c:valAx>
        <c:axId val="39378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970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Matches / wins in selected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T3_Timeline_Filter!B4</c:f>
              <c:strCache>
                <c:ptCount val="1"/>
                <c:pt idx="0">
                  <c:v>Matches in period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T3_Timeline_Filter!$A$5:$A$12</c:f>
              <c:strCache>
                <c:ptCount val="8"/>
                <c:pt idx="0">
                  <c:v>Chennai Super Kings</c:v>
                </c:pt>
                <c:pt idx="1">
                  <c:v>Mumbai Indians</c:v>
                </c:pt>
                <c:pt idx="2">
                  <c:v>Gujarat Titans</c:v>
                </c:pt>
                <c:pt idx="3">
                  <c:v>Royal Challengers</c:v>
                </c:pt>
                <c:pt idx="4">
                  <c:v>Kolkata Knight Riders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Sunrisers Hyderabad</c:v>
                </c:pt>
              </c:strCache>
            </c:strRef>
          </c:cat>
          <c:val>
            <c:numRef>
              <c:f>T3_Timeline_Filter!$B$5:$B$12</c:f>
              <c:numCache>
                <c:formatCode>General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  <c:pt idx="6">
                  <c:v>8</c:v>
                </c:pt>
                <c:pt idx="7">
                  <c:v>8</c:v>
                </c:pt>
              </c:numCache>
            </c:numRef>
          </c:val>
        </c:ser>
        <c:ser>
          <c:idx val="1"/>
          <c:order val="1"/>
          <c:tx>
            <c:strRef>
              <c:f>T3_Timeline_Filter!C4</c:f>
              <c:strCache>
                <c:ptCount val="1"/>
                <c:pt idx="0">
                  <c:v>Wins in period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T3_Timeline_Filter!$A$5:$A$12</c:f>
              <c:strCache>
                <c:ptCount val="8"/>
                <c:pt idx="0">
                  <c:v>Chennai Super Kings</c:v>
                </c:pt>
                <c:pt idx="1">
                  <c:v>Mumbai Indians</c:v>
                </c:pt>
                <c:pt idx="2">
                  <c:v>Gujarat Titans</c:v>
                </c:pt>
                <c:pt idx="3">
                  <c:v>Royal Challengers</c:v>
                </c:pt>
                <c:pt idx="4">
                  <c:v>Kolkata Knight Riders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Sunrisers Hyderabad</c:v>
                </c:pt>
              </c:strCache>
            </c:strRef>
          </c:cat>
          <c:val>
            <c:numRef>
              <c:f>T3_Timeline_Filter!$C$5:$C$12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</c:numCache>
            </c:numRef>
          </c:val>
        </c:ser>
        <c:gapWidth val="150"/>
        <c:overlap val="0"/>
        <c:axId val="61190551"/>
        <c:axId val="7373567"/>
      </c:barChart>
      <c:catAx>
        <c:axId val="61190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3567"/>
        <c:crosses val="autoZero"/>
        <c:auto val="1"/>
        <c:lblAlgn val="ctr"/>
        <c:lblOffset val="100"/>
        <c:noMultiLvlLbl val="0"/>
      </c:catAx>
      <c:valAx>
        <c:axId val="7373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90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wins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T4_Dashboard!C24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T4_Dashboard!$B$25:$B$32</c:f>
              <c:strCache>
                <c:ptCount val="8"/>
                <c:pt idx="0">
                  <c:v>Chennai Super Kings</c:v>
                </c:pt>
                <c:pt idx="1">
                  <c:v>Mumbai Indians</c:v>
                </c:pt>
                <c:pt idx="2">
                  <c:v>Gujarat Titans</c:v>
                </c:pt>
                <c:pt idx="3">
                  <c:v>Royal Challengers</c:v>
                </c:pt>
                <c:pt idx="4">
                  <c:v>Kolkata Knight Riders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Sunrisers Hyderabad</c:v>
                </c:pt>
              </c:strCache>
            </c:strRef>
          </c:cat>
          <c:val>
            <c:numRef>
              <c:f>T4_Dashboard!$C$25:$C$32</c:f>
              <c:numCache>
                <c:formatCode>General</c:formatCode>
                <c:ptCount val="8"/>
                <c:pt idx="0">
                  <c:v>17</c:v>
                </c:pt>
                <c:pt idx="1">
                  <c:v>19</c:v>
                </c:pt>
                <c:pt idx="2">
                  <c:v>11</c:v>
                </c:pt>
                <c:pt idx="3">
                  <c:v>12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10</c:v>
                </c:pt>
              </c:numCache>
            </c:numRef>
          </c:val>
        </c:ser>
        <c:gapWidth val="150"/>
        <c:overlap val="0"/>
        <c:axId val="30709280"/>
        <c:axId val="19181978"/>
      </c:barChart>
      <c:catAx>
        <c:axId val="3070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81978"/>
        <c:crosses val="autoZero"/>
        <c:auto val="1"/>
        <c:lblAlgn val="ctr"/>
        <c:lblOffset val="100"/>
        <c:noMultiLvlLbl val="0"/>
      </c:catAx>
      <c:valAx>
        <c:axId val="19181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092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Matches played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T4_Dashboard!G24</c:f>
              <c:strCache>
                <c:ptCount val="1"/>
                <c:pt idx="0">
                  <c:v>Matches</c:v>
                </c:pt>
              </c:strCache>
            </c:strRef>
          </c:tx>
          <c:spPr>
            <a:solidFill>
              <a:srgbClr val="c55a11"/>
            </a:solidFill>
            <a:ln w="2844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T4_Dashboard!$F$25:$F$36</c:f>
              <c:strCache>
                <c:ptCount val="12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Mar-25</c:v>
                </c:pt>
                <c:pt idx="5">
                  <c:v>Apr-25</c:v>
                </c:pt>
                <c:pt idx="6">
                  <c:v>May-25</c:v>
                </c:pt>
                <c:pt idx="7">
                  <c:v>Jun-25</c:v>
                </c:pt>
                <c:pt idx="8">
                  <c:v>Mar-26</c:v>
                </c:pt>
                <c:pt idx="9">
                  <c:v>Apr-26</c:v>
                </c:pt>
                <c:pt idx="10">
                  <c:v>May-26</c:v>
                </c:pt>
                <c:pt idx="11">
                  <c:v>Jun-26</c:v>
                </c:pt>
              </c:strCache>
            </c:strRef>
          </c:cat>
          <c:val>
            <c:numRef>
              <c:f>T4_Dashboard!$G$25:$G$36</c:f>
              <c:numCache>
                <c:formatCode>General</c:formatCode>
                <c:ptCount val="12"/>
                <c:pt idx="0">
                  <c:v>5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  <c:pt idx="4">
                  <c:v>6</c:v>
                </c:pt>
                <c:pt idx="5">
                  <c:v>14</c:v>
                </c:pt>
                <c:pt idx="6">
                  <c:v>20</c:v>
                </c:pt>
                <c:pt idx="7">
                  <c:v>0</c:v>
                </c:pt>
                <c:pt idx="8">
                  <c:v>5</c:v>
                </c:pt>
                <c:pt idx="9">
                  <c:v>13</c:v>
                </c:pt>
                <c:pt idx="10">
                  <c:v>22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537556"/>
        <c:axId val="49672863"/>
      </c:lineChart>
      <c:catAx>
        <c:axId val="495375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72863"/>
        <c:crosses val="autoZero"/>
        <c:auto val="1"/>
        <c:lblAlgn val="ctr"/>
        <c:lblOffset val="100"/>
        <c:noMultiLvlLbl val="0"/>
      </c:catAx>
      <c:valAx>
        <c:axId val="49672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375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Matches won by each team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T5_Wins_per_Year!B1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T5_Wins_per_Year!$A$2:$A$9</c:f>
              <c:strCache>
                <c:ptCount val="8"/>
                <c:pt idx="0">
                  <c:v>Chennai Super Kings</c:v>
                </c:pt>
                <c:pt idx="1">
                  <c:v>Mumbai Indians</c:v>
                </c:pt>
                <c:pt idx="2">
                  <c:v>Gujarat Titans</c:v>
                </c:pt>
                <c:pt idx="3">
                  <c:v>Royal Challengers</c:v>
                </c:pt>
                <c:pt idx="4">
                  <c:v>Kolkata Knight Riders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Sunrisers Hyderabad</c:v>
                </c:pt>
              </c:strCache>
            </c:strRef>
          </c:cat>
          <c:val>
            <c:numRef>
              <c:f>T5_Wins_per_Year!$B$2:$B$9</c:f>
              <c:numCache>
                <c:formatCode>General</c:formatCode>
                <c:ptCount val="8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T5_Wins_per_Year!C1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T5_Wins_per_Year!$A$2:$A$9</c:f>
              <c:strCache>
                <c:ptCount val="8"/>
                <c:pt idx="0">
                  <c:v>Chennai Super Kings</c:v>
                </c:pt>
                <c:pt idx="1">
                  <c:v>Mumbai Indians</c:v>
                </c:pt>
                <c:pt idx="2">
                  <c:v>Gujarat Titans</c:v>
                </c:pt>
                <c:pt idx="3">
                  <c:v>Royal Challengers</c:v>
                </c:pt>
                <c:pt idx="4">
                  <c:v>Kolkata Knight Riders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Sunrisers Hyderabad</c:v>
                </c:pt>
              </c:strCache>
            </c:strRef>
          </c:cat>
          <c:val>
            <c:numRef>
              <c:f>T5_Wins_per_Year!$C$2:$C$9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</c:numCache>
            </c:numRef>
          </c:val>
        </c:ser>
        <c:ser>
          <c:idx val="2"/>
          <c:order val="2"/>
          <c:tx>
            <c:strRef>
              <c:f>T5_Wins_per_Year!D1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T5_Wins_per_Year!$A$2:$A$9</c:f>
              <c:strCache>
                <c:ptCount val="8"/>
                <c:pt idx="0">
                  <c:v>Chennai Super Kings</c:v>
                </c:pt>
                <c:pt idx="1">
                  <c:v>Mumbai Indians</c:v>
                </c:pt>
                <c:pt idx="2">
                  <c:v>Gujarat Titans</c:v>
                </c:pt>
                <c:pt idx="3">
                  <c:v>Royal Challengers</c:v>
                </c:pt>
                <c:pt idx="4">
                  <c:v>Kolkata Knight Riders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Sunrisers Hyderabad</c:v>
                </c:pt>
              </c:strCache>
            </c:strRef>
          </c:cat>
          <c:val>
            <c:numRef>
              <c:f>T5_Wins_per_Year!$D$2:$D$9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</c:ser>
        <c:gapWidth val="150"/>
        <c:overlap val="0"/>
        <c:axId val="76312547"/>
        <c:axId val="83210043"/>
      </c:barChart>
      <c:catAx>
        <c:axId val="76312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10043"/>
        <c:crosses val="autoZero"/>
        <c:auto val="1"/>
        <c:lblAlgn val="ctr"/>
        <c:lblOffset val="100"/>
        <c:noMultiLvlLbl val="0"/>
      </c:catAx>
      <c:valAx>
        <c:axId val="832100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12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14</xdr:col>
      <xdr:colOff>4680</xdr:colOff>
      <xdr:row>17</xdr:row>
      <xdr:rowOff>11520</xdr:rowOff>
    </xdr:to>
    <xdr:graphicFrame>
      <xdr:nvGraphicFramePr>
        <xdr:cNvPr id="0" name="Chart 1"/>
        <xdr:cNvGraphicFramePr/>
      </xdr:nvGraphicFramePr>
      <xdr:xfrm>
        <a:off x="4699800" y="1904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256320</xdr:colOff>
      <xdr:row>18</xdr:row>
      <xdr:rowOff>11520</xdr:rowOff>
    </xdr:to>
    <xdr:graphicFrame>
      <xdr:nvGraphicFramePr>
        <xdr:cNvPr id="1" name="Chart 1"/>
        <xdr:cNvGraphicFramePr/>
      </xdr:nvGraphicFramePr>
      <xdr:xfrm>
        <a:off x="7496280" y="380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14</xdr:col>
      <xdr:colOff>256320</xdr:colOff>
      <xdr:row>20</xdr:row>
      <xdr:rowOff>11880</xdr:rowOff>
    </xdr:to>
    <xdr:graphicFrame>
      <xdr:nvGraphicFramePr>
        <xdr:cNvPr id="2" name="Chart 1"/>
        <xdr:cNvGraphicFramePr/>
      </xdr:nvGraphicFramePr>
      <xdr:xfrm>
        <a:off x="8083080" y="76212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0</xdr:rowOff>
    </xdr:from>
    <xdr:to>
      <xdr:col>7</xdr:col>
      <xdr:colOff>387720</xdr:colOff>
      <xdr:row>21</xdr:row>
      <xdr:rowOff>11520</xdr:rowOff>
    </xdr:to>
    <xdr:graphicFrame>
      <xdr:nvGraphicFramePr>
        <xdr:cNvPr id="3" name="Chart 1"/>
        <xdr:cNvGraphicFramePr/>
      </xdr:nvGraphicFramePr>
      <xdr:xfrm>
        <a:off x="141120" y="95256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387720</xdr:colOff>
      <xdr:row>21</xdr:row>
      <xdr:rowOff>11520</xdr:rowOff>
    </xdr:to>
    <xdr:graphicFrame>
      <xdr:nvGraphicFramePr>
        <xdr:cNvPr id="4" name="Chart 2"/>
        <xdr:cNvGraphicFramePr/>
      </xdr:nvGraphicFramePr>
      <xdr:xfrm>
        <a:off x="5568480" y="95256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18</xdr:row>
      <xdr:rowOff>1080</xdr:rowOff>
    </xdr:to>
    <xdr:graphicFrame>
      <xdr:nvGraphicFramePr>
        <xdr:cNvPr id="5" name="Chart 1"/>
        <xdr:cNvGraphicFramePr/>
      </xdr:nvGraphicFramePr>
      <xdr:xfrm>
        <a:off x="737820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0" createdVersion="3">
  <cacheSource type="worksheet">
    <worksheetSource ref="A1:F241" sheet="Data"/>
  </cacheSource>
  <cacheFields count="6">
    <cacheField name="Match ID" numFmtId="0">
      <sharedItems count="120">
        <s v="M2024-01"/>
        <s v="M2024-02"/>
        <s v="M2024-03"/>
        <s v="M2024-04"/>
        <s v="M2024-05"/>
        <s v="M2024-06"/>
        <s v="M2024-07"/>
        <s v="M2024-08"/>
        <s v="M2024-09"/>
        <s v="M2024-10"/>
        <s v="M2024-11"/>
        <s v="M2024-12"/>
        <s v="M2024-13"/>
        <s v="M2024-14"/>
        <s v="M2024-15"/>
        <s v="M2024-16"/>
        <s v="M2024-17"/>
        <s v="M2024-18"/>
        <s v="M2024-19"/>
        <s v="M2024-20"/>
        <s v="M2024-21"/>
        <s v="M2024-22"/>
        <s v="M2024-23"/>
        <s v="M2024-24"/>
        <s v="M2024-25"/>
        <s v="M2024-26"/>
        <s v="M2024-27"/>
        <s v="M2024-28"/>
        <s v="M2024-29"/>
        <s v="M2024-30"/>
        <s v="M2024-31"/>
        <s v="M2024-32"/>
        <s v="M2024-33"/>
        <s v="M2024-34"/>
        <s v="M2024-35"/>
        <s v="M2024-36"/>
        <s v="M2024-37"/>
        <s v="M2024-38"/>
        <s v="M2024-39"/>
        <s v="M2024-40"/>
        <s v="M2025-01"/>
        <s v="M2025-02"/>
        <s v="M2025-03"/>
        <s v="M2025-04"/>
        <s v="M2025-05"/>
        <s v="M2025-06"/>
        <s v="M2025-07"/>
        <s v="M2025-08"/>
        <s v="M2025-09"/>
        <s v="M2025-10"/>
        <s v="M2025-11"/>
        <s v="M2025-12"/>
        <s v="M2025-13"/>
        <s v="M2025-14"/>
        <s v="M2025-15"/>
        <s v="M2025-16"/>
        <s v="M2025-17"/>
        <s v="M2025-18"/>
        <s v="M2025-19"/>
        <s v="M2025-20"/>
        <s v="M2025-21"/>
        <s v="M2025-22"/>
        <s v="M2025-23"/>
        <s v="M2025-24"/>
        <s v="M2025-25"/>
        <s v="M2025-26"/>
        <s v="M2025-27"/>
        <s v="M2025-28"/>
        <s v="M2025-29"/>
        <s v="M2025-30"/>
        <s v="M2025-31"/>
        <s v="M2025-32"/>
        <s v="M2025-33"/>
        <s v="M2025-34"/>
        <s v="M2025-35"/>
        <s v="M2025-36"/>
        <s v="M2025-37"/>
        <s v="M2025-38"/>
        <s v="M2025-39"/>
        <s v="M2025-40"/>
        <s v="M2026-01"/>
        <s v="M2026-02"/>
        <s v="M2026-03"/>
        <s v="M2026-04"/>
        <s v="M2026-05"/>
        <s v="M2026-06"/>
        <s v="M2026-07"/>
        <s v="M2026-08"/>
        <s v="M2026-09"/>
        <s v="M2026-10"/>
        <s v="M2026-11"/>
        <s v="M2026-12"/>
        <s v="M2026-13"/>
        <s v="M2026-14"/>
        <s v="M2026-15"/>
        <s v="M2026-16"/>
        <s v="M2026-17"/>
        <s v="M2026-18"/>
        <s v="M2026-19"/>
        <s v="M2026-20"/>
        <s v="M2026-21"/>
        <s v="M2026-22"/>
        <s v="M2026-23"/>
        <s v="M2026-24"/>
        <s v="M2026-25"/>
        <s v="M2026-26"/>
        <s v="M2026-27"/>
        <s v="M2026-28"/>
        <s v="M2026-29"/>
        <s v="M2026-30"/>
        <s v="M2026-31"/>
        <s v="M2026-32"/>
        <s v="M2026-33"/>
        <s v="M2026-34"/>
        <s v="M2026-35"/>
        <s v="M2026-36"/>
        <s v="M2026-37"/>
        <s v="M2026-38"/>
        <s v="M2026-39"/>
        <s v="M2026-40"/>
      </sharedItems>
    </cacheField>
    <cacheField name="Match Date" numFmtId="0">
      <sharedItems containsSemiMixedTypes="0" containsNonDate="0" containsDate="1" containsString="0" minDate="2024-03-22T00:00:00" maxDate="2026-05-26T00:00:00" count="90">
        <d v="2024-03-22T00:00:00"/>
        <d v="2024-03-23T00:00:00"/>
        <d v="2024-03-24T00:00:00"/>
        <d v="2024-03-31T00:00:00"/>
        <d v="2024-04-03T00:00:00"/>
        <d v="2024-04-08T00:00:00"/>
        <d v="2024-04-09T00:00:00"/>
        <d v="2024-04-10T00:00:00"/>
        <d v="2024-04-12T00:00:00"/>
        <d v="2024-04-13T00:00:00"/>
        <d v="2024-04-18T00:00:00"/>
        <d v="2024-04-19T00:00:00"/>
        <d v="2024-04-21T00:00:00"/>
        <d v="2024-04-22T00:00:00"/>
        <d v="2024-04-23T00:00:00"/>
        <d v="2024-04-24T00:00:00"/>
        <d v="2024-04-29T00:00:00"/>
        <d v="2024-04-30T00:00:00"/>
        <d v="2024-05-01T00:00:00"/>
        <d v="2024-05-02T00:00:00"/>
        <d v="2024-05-04T00:00:00"/>
        <d v="2024-05-07T00:00:00"/>
        <d v="2024-05-09T00:00:00"/>
        <d v="2024-05-10T00:00:00"/>
        <d v="2024-05-12T00:00:00"/>
        <d v="2024-05-13T00:00:00"/>
        <d v="2024-05-14T00:00:00"/>
        <d v="2024-05-15T00:00:00"/>
        <d v="2024-05-20T00:00:00"/>
        <d v="2024-05-21T00:00:00"/>
        <d v="2024-05-23T00:00:00"/>
        <d v="2024-05-24T00:00:00"/>
        <d v="2024-05-25T00:00:00"/>
        <d v="2025-03-22T00:00:00"/>
        <d v="2025-03-27T00:00:00"/>
        <d v="2025-03-29T00:00:00"/>
        <d v="2025-03-30T00:00:00"/>
        <d v="2025-03-31T00:00:00"/>
        <d v="2025-04-03T00:00:00"/>
        <d v="2025-04-09T00:00:00"/>
        <d v="2025-04-12T00:00:00"/>
        <d v="2025-04-13T00:00:00"/>
        <d v="2025-04-15T00:00:00"/>
        <d v="2025-04-20T00:00:00"/>
        <d v="2025-04-22T00:00:00"/>
        <d v="2025-04-25T00:00:00"/>
        <d v="2025-04-28T00:00:00"/>
        <d v="2025-04-29T00:00:00"/>
        <d v="2025-04-30T00:00:00"/>
        <d v="2025-05-02T00:00:00"/>
        <d v="2025-05-04T00:00:00"/>
        <d v="2025-05-08T00:00:00"/>
        <d v="2025-05-09T00:00:00"/>
        <d v="2025-05-14T00:00:00"/>
        <d v="2025-05-15T00:00:00"/>
        <d v="2025-05-16T00:00:00"/>
        <d v="2025-05-17T00:00:00"/>
        <d v="2025-05-18T00:00:00"/>
        <d v="2025-05-20T00:00:00"/>
        <d v="2025-05-22T00:00:00"/>
        <d v="2025-05-25T00:00:00"/>
        <d v="2025-05-26T00:00:00"/>
        <d v="2026-03-24T00:00:00"/>
        <d v="2026-03-25T00:00:00"/>
        <d v="2026-03-26T00:00:00"/>
        <d v="2026-03-29T00:00:00"/>
        <d v="2026-03-31T00:00:00"/>
        <d v="2026-04-05T00:00:00"/>
        <d v="2026-04-06T00:00:00"/>
        <d v="2026-04-07T00:00:00"/>
        <d v="2026-04-09T00:00:00"/>
        <d v="2026-04-11T00:00:00"/>
        <d v="2026-04-15T00:00:00"/>
        <d v="2026-04-19T00:00:00"/>
        <d v="2026-04-20T00:00:00"/>
        <d v="2026-04-23T00:00:00"/>
        <d v="2026-04-24T00:00:00"/>
        <d v="2026-04-28T00:00:00"/>
        <d v="2026-05-03T00:00:00"/>
        <d v="2026-05-05T00:00:00"/>
        <d v="2026-05-07T00:00:00"/>
        <d v="2026-05-08T00:00:00"/>
        <d v="2026-05-09T00:00:00"/>
        <d v="2026-05-15T00:00:00"/>
        <d v="2026-05-17T00:00:00"/>
        <d v="2026-05-19T00:00:00"/>
        <d v="2026-05-23T00:00:00"/>
        <d v="2026-05-24T00:00:00"/>
        <d v="2026-05-25T00:00:00"/>
        <d v="2026-05-26T00:00:00"/>
      </sharedItems>
    </cacheField>
    <cacheField name="Season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Team" numFmtId="0">
      <sharedItems count="8">
        <s v="Chennai Super Kings"/>
        <s v="Delhi Capitals"/>
        <s v="Gujarat Titans"/>
        <s v="Kolkata Knight Riders"/>
        <s v="Mumbai Indians"/>
        <s v="Rajasthan Royals"/>
        <s v="Royal Challengers"/>
        <s v="Sunrisers Hyderabad"/>
      </sharedItems>
    </cacheField>
    <cacheField name="Venue" numFmtId="0">
      <sharedItems count="6">
        <s v="Arun Jaitley Stadium"/>
        <s v="Eden Gardens"/>
        <s v="M Chinnaswamy Stadium"/>
        <s v="MA Chidambaram Stadium"/>
        <s v="Narendra Modi Stadium"/>
        <s v="Wankhede Stadium"/>
      </sharedItems>
    </cacheField>
    <cacheField name="Result" numFmtId="0">
      <sharedItems count="2">
        <s v="Loss"/>
        <s v="Wi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">
  <r>
    <x v="2"/>
    <x v="0"/>
    <x v="0"/>
    <x v="6"/>
    <x v="4"/>
    <x v="1"/>
  </r>
  <r>
    <x v="2"/>
    <x v="0"/>
    <x v="0"/>
    <x v="5"/>
    <x v="4"/>
    <x v="0"/>
  </r>
  <r>
    <x v="20"/>
    <x v="1"/>
    <x v="0"/>
    <x v="2"/>
    <x v="3"/>
    <x v="1"/>
  </r>
  <r>
    <x v="20"/>
    <x v="1"/>
    <x v="0"/>
    <x v="1"/>
    <x v="3"/>
    <x v="0"/>
  </r>
  <r>
    <x v="30"/>
    <x v="1"/>
    <x v="0"/>
    <x v="2"/>
    <x v="2"/>
    <x v="0"/>
  </r>
  <r>
    <x v="30"/>
    <x v="1"/>
    <x v="0"/>
    <x v="5"/>
    <x v="2"/>
    <x v="1"/>
  </r>
  <r>
    <x v="7"/>
    <x v="2"/>
    <x v="0"/>
    <x v="4"/>
    <x v="2"/>
    <x v="1"/>
  </r>
  <r>
    <x v="7"/>
    <x v="2"/>
    <x v="0"/>
    <x v="5"/>
    <x v="2"/>
    <x v="0"/>
  </r>
  <r>
    <x v="10"/>
    <x v="3"/>
    <x v="0"/>
    <x v="6"/>
    <x v="4"/>
    <x v="0"/>
  </r>
  <r>
    <x v="10"/>
    <x v="3"/>
    <x v="0"/>
    <x v="1"/>
    <x v="4"/>
    <x v="1"/>
  </r>
  <r>
    <x v="33"/>
    <x v="4"/>
    <x v="0"/>
    <x v="4"/>
    <x v="5"/>
    <x v="1"/>
  </r>
  <r>
    <x v="33"/>
    <x v="4"/>
    <x v="0"/>
    <x v="6"/>
    <x v="5"/>
    <x v="0"/>
  </r>
  <r>
    <x v="29"/>
    <x v="5"/>
    <x v="0"/>
    <x v="7"/>
    <x v="1"/>
    <x v="0"/>
  </r>
  <r>
    <x v="29"/>
    <x v="5"/>
    <x v="0"/>
    <x v="2"/>
    <x v="1"/>
    <x v="1"/>
  </r>
  <r>
    <x v="3"/>
    <x v="6"/>
    <x v="0"/>
    <x v="5"/>
    <x v="5"/>
    <x v="0"/>
  </r>
  <r>
    <x v="3"/>
    <x v="6"/>
    <x v="0"/>
    <x v="0"/>
    <x v="5"/>
    <x v="1"/>
  </r>
  <r>
    <x v="25"/>
    <x v="6"/>
    <x v="0"/>
    <x v="1"/>
    <x v="5"/>
    <x v="0"/>
  </r>
  <r>
    <x v="25"/>
    <x v="6"/>
    <x v="0"/>
    <x v="7"/>
    <x v="5"/>
    <x v="1"/>
  </r>
  <r>
    <x v="34"/>
    <x v="6"/>
    <x v="0"/>
    <x v="7"/>
    <x v="4"/>
    <x v="0"/>
  </r>
  <r>
    <x v="34"/>
    <x v="6"/>
    <x v="0"/>
    <x v="5"/>
    <x v="4"/>
    <x v="1"/>
  </r>
  <r>
    <x v="6"/>
    <x v="7"/>
    <x v="0"/>
    <x v="1"/>
    <x v="0"/>
    <x v="0"/>
  </r>
  <r>
    <x v="6"/>
    <x v="7"/>
    <x v="0"/>
    <x v="0"/>
    <x v="0"/>
    <x v="1"/>
  </r>
  <r>
    <x v="16"/>
    <x v="8"/>
    <x v="0"/>
    <x v="4"/>
    <x v="0"/>
    <x v="1"/>
  </r>
  <r>
    <x v="16"/>
    <x v="8"/>
    <x v="0"/>
    <x v="7"/>
    <x v="0"/>
    <x v="0"/>
  </r>
  <r>
    <x v="24"/>
    <x v="8"/>
    <x v="0"/>
    <x v="5"/>
    <x v="2"/>
    <x v="1"/>
  </r>
  <r>
    <x v="24"/>
    <x v="8"/>
    <x v="0"/>
    <x v="4"/>
    <x v="2"/>
    <x v="0"/>
  </r>
  <r>
    <x v="18"/>
    <x v="9"/>
    <x v="0"/>
    <x v="4"/>
    <x v="2"/>
    <x v="1"/>
  </r>
  <r>
    <x v="18"/>
    <x v="9"/>
    <x v="0"/>
    <x v="5"/>
    <x v="2"/>
    <x v="0"/>
  </r>
  <r>
    <x v="27"/>
    <x v="10"/>
    <x v="0"/>
    <x v="7"/>
    <x v="3"/>
    <x v="0"/>
  </r>
  <r>
    <x v="27"/>
    <x v="10"/>
    <x v="0"/>
    <x v="0"/>
    <x v="3"/>
    <x v="1"/>
  </r>
  <r>
    <x v="36"/>
    <x v="11"/>
    <x v="0"/>
    <x v="5"/>
    <x v="1"/>
    <x v="1"/>
  </r>
  <r>
    <x v="36"/>
    <x v="11"/>
    <x v="0"/>
    <x v="6"/>
    <x v="1"/>
    <x v="0"/>
  </r>
  <r>
    <x v="9"/>
    <x v="12"/>
    <x v="0"/>
    <x v="0"/>
    <x v="4"/>
    <x v="0"/>
  </r>
  <r>
    <x v="9"/>
    <x v="12"/>
    <x v="0"/>
    <x v="6"/>
    <x v="4"/>
    <x v="1"/>
  </r>
  <r>
    <x v="19"/>
    <x v="12"/>
    <x v="0"/>
    <x v="0"/>
    <x v="2"/>
    <x v="0"/>
  </r>
  <r>
    <x v="19"/>
    <x v="12"/>
    <x v="0"/>
    <x v="1"/>
    <x v="2"/>
    <x v="1"/>
  </r>
  <r>
    <x v="21"/>
    <x v="13"/>
    <x v="0"/>
    <x v="5"/>
    <x v="5"/>
    <x v="1"/>
  </r>
  <r>
    <x v="21"/>
    <x v="13"/>
    <x v="0"/>
    <x v="1"/>
    <x v="5"/>
    <x v="0"/>
  </r>
  <r>
    <x v="26"/>
    <x v="14"/>
    <x v="0"/>
    <x v="7"/>
    <x v="5"/>
    <x v="0"/>
  </r>
  <r>
    <x v="26"/>
    <x v="14"/>
    <x v="0"/>
    <x v="0"/>
    <x v="5"/>
    <x v="1"/>
  </r>
  <r>
    <x v="23"/>
    <x v="15"/>
    <x v="0"/>
    <x v="3"/>
    <x v="0"/>
    <x v="1"/>
  </r>
  <r>
    <x v="23"/>
    <x v="15"/>
    <x v="0"/>
    <x v="0"/>
    <x v="0"/>
    <x v="0"/>
  </r>
  <r>
    <x v="35"/>
    <x v="16"/>
    <x v="0"/>
    <x v="3"/>
    <x v="1"/>
    <x v="0"/>
  </r>
  <r>
    <x v="35"/>
    <x v="16"/>
    <x v="0"/>
    <x v="4"/>
    <x v="1"/>
    <x v="1"/>
  </r>
  <r>
    <x v="17"/>
    <x v="17"/>
    <x v="0"/>
    <x v="1"/>
    <x v="5"/>
    <x v="1"/>
  </r>
  <r>
    <x v="17"/>
    <x v="17"/>
    <x v="0"/>
    <x v="2"/>
    <x v="5"/>
    <x v="0"/>
  </r>
  <r>
    <x v="15"/>
    <x v="18"/>
    <x v="0"/>
    <x v="6"/>
    <x v="1"/>
    <x v="0"/>
  </r>
  <r>
    <x v="15"/>
    <x v="18"/>
    <x v="0"/>
    <x v="3"/>
    <x v="1"/>
    <x v="1"/>
  </r>
  <r>
    <x v="31"/>
    <x v="19"/>
    <x v="0"/>
    <x v="0"/>
    <x v="0"/>
    <x v="1"/>
  </r>
  <r>
    <x v="31"/>
    <x v="19"/>
    <x v="0"/>
    <x v="2"/>
    <x v="0"/>
    <x v="0"/>
  </r>
  <r>
    <x v="11"/>
    <x v="20"/>
    <x v="0"/>
    <x v="5"/>
    <x v="5"/>
    <x v="0"/>
  </r>
  <r>
    <x v="11"/>
    <x v="20"/>
    <x v="0"/>
    <x v="4"/>
    <x v="5"/>
    <x v="1"/>
  </r>
  <r>
    <x v="12"/>
    <x v="21"/>
    <x v="0"/>
    <x v="5"/>
    <x v="2"/>
    <x v="0"/>
  </r>
  <r>
    <x v="12"/>
    <x v="21"/>
    <x v="0"/>
    <x v="2"/>
    <x v="2"/>
    <x v="1"/>
  </r>
  <r>
    <x v="37"/>
    <x v="22"/>
    <x v="0"/>
    <x v="2"/>
    <x v="5"/>
    <x v="0"/>
  </r>
  <r>
    <x v="37"/>
    <x v="22"/>
    <x v="0"/>
    <x v="5"/>
    <x v="5"/>
    <x v="1"/>
  </r>
  <r>
    <x v="13"/>
    <x v="23"/>
    <x v="0"/>
    <x v="1"/>
    <x v="3"/>
    <x v="1"/>
  </r>
  <r>
    <x v="13"/>
    <x v="23"/>
    <x v="0"/>
    <x v="6"/>
    <x v="3"/>
    <x v="0"/>
  </r>
  <r>
    <x v="32"/>
    <x v="24"/>
    <x v="0"/>
    <x v="5"/>
    <x v="5"/>
    <x v="1"/>
  </r>
  <r>
    <x v="32"/>
    <x v="24"/>
    <x v="0"/>
    <x v="2"/>
    <x v="5"/>
    <x v="0"/>
  </r>
  <r>
    <x v="4"/>
    <x v="25"/>
    <x v="0"/>
    <x v="0"/>
    <x v="1"/>
    <x v="1"/>
  </r>
  <r>
    <x v="4"/>
    <x v="25"/>
    <x v="0"/>
    <x v="6"/>
    <x v="1"/>
    <x v="0"/>
  </r>
  <r>
    <x v="22"/>
    <x v="25"/>
    <x v="0"/>
    <x v="4"/>
    <x v="0"/>
    <x v="1"/>
  </r>
  <r>
    <x v="22"/>
    <x v="25"/>
    <x v="0"/>
    <x v="6"/>
    <x v="0"/>
    <x v="0"/>
  </r>
  <r>
    <x v="0"/>
    <x v="26"/>
    <x v="0"/>
    <x v="2"/>
    <x v="0"/>
    <x v="1"/>
  </r>
  <r>
    <x v="0"/>
    <x v="26"/>
    <x v="0"/>
    <x v="6"/>
    <x v="0"/>
    <x v="0"/>
  </r>
  <r>
    <x v="28"/>
    <x v="27"/>
    <x v="0"/>
    <x v="1"/>
    <x v="2"/>
    <x v="0"/>
  </r>
  <r>
    <x v="28"/>
    <x v="27"/>
    <x v="0"/>
    <x v="3"/>
    <x v="2"/>
    <x v="1"/>
  </r>
  <r>
    <x v="39"/>
    <x v="28"/>
    <x v="0"/>
    <x v="0"/>
    <x v="4"/>
    <x v="1"/>
  </r>
  <r>
    <x v="39"/>
    <x v="28"/>
    <x v="0"/>
    <x v="6"/>
    <x v="4"/>
    <x v="0"/>
  </r>
  <r>
    <x v="1"/>
    <x v="29"/>
    <x v="0"/>
    <x v="6"/>
    <x v="1"/>
    <x v="1"/>
  </r>
  <r>
    <x v="1"/>
    <x v="29"/>
    <x v="0"/>
    <x v="5"/>
    <x v="1"/>
    <x v="0"/>
  </r>
  <r>
    <x v="8"/>
    <x v="30"/>
    <x v="0"/>
    <x v="1"/>
    <x v="5"/>
    <x v="1"/>
  </r>
  <r>
    <x v="8"/>
    <x v="30"/>
    <x v="0"/>
    <x v="6"/>
    <x v="5"/>
    <x v="0"/>
  </r>
  <r>
    <x v="5"/>
    <x v="31"/>
    <x v="0"/>
    <x v="1"/>
    <x v="0"/>
    <x v="1"/>
  </r>
  <r>
    <x v="5"/>
    <x v="31"/>
    <x v="0"/>
    <x v="3"/>
    <x v="0"/>
    <x v="0"/>
  </r>
  <r>
    <x v="14"/>
    <x v="31"/>
    <x v="0"/>
    <x v="4"/>
    <x v="4"/>
    <x v="1"/>
  </r>
  <r>
    <x v="14"/>
    <x v="31"/>
    <x v="0"/>
    <x v="7"/>
    <x v="4"/>
    <x v="0"/>
  </r>
  <r>
    <x v="38"/>
    <x v="32"/>
    <x v="0"/>
    <x v="0"/>
    <x v="0"/>
    <x v="0"/>
  </r>
  <r>
    <x v="38"/>
    <x v="32"/>
    <x v="0"/>
    <x v="3"/>
    <x v="0"/>
    <x v="1"/>
  </r>
  <r>
    <x v="56"/>
    <x v="33"/>
    <x v="1"/>
    <x v="5"/>
    <x v="5"/>
    <x v="1"/>
  </r>
  <r>
    <x v="56"/>
    <x v="33"/>
    <x v="1"/>
    <x v="7"/>
    <x v="5"/>
    <x v="0"/>
  </r>
  <r>
    <x v="41"/>
    <x v="34"/>
    <x v="1"/>
    <x v="1"/>
    <x v="5"/>
    <x v="1"/>
  </r>
  <r>
    <x v="41"/>
    <x v="34"/>
    <x v="1"/>
    <x v="7"/>
    <x v="5"/>
    <x v="0"/>
  </r>
  <r>
    <x v="75"/>
    <x v="35"/>
    <x v="1"/>
    <x v="6"/>
    <x v="2"/>
    <x v="0"/>
  </r>
  <r>
    <x v="75"/>
    <x v="35"/>
    <x v="1"/>
    <x v="4"/>
    <x v="2"/>
    <x v="1"/>
  </r>
  <r>
    <x v="78"/>
    <x v="36"/>
    <x v="1"/>
    <x v="4"/>
    <x v="5"/>
    <x v="1"/>
  </r>
  <r>
    <x v="78"/>
    <x v="36"/>
    <x v="1"/>
    <x v="1"/>
    <x v="5"/>
    <x v="0"/>
  </r>
  <r>
    <x v="49"/>
    <x v="37"/>
    <x v="1"/>
    <x v="5"/>
    <x v="5"/>
    <x v="1"/>
  </r>
  <r>
    <x v="49"/>
    <x v="37"/>
    <x v="1"/>
    <x v="6"/>
    <x v="5"/>
    <x v="0"/>
  </r>
  <r>
    <x v="67"/>
    <x v="37"/>
    <x v="1"/>
    <x v="1"/>
    <x v="1"/>
    <x v="0"/>
  </r>
  <r>
    <x v="67"/>
    <x v="37"/>
    <x v="1"/>
    <x v="0"/>
    <x v="1"/>
    <x v="1"/>
  </r>
  <r>
    <x v="43"/>
    <x v="38"/>
    <x v="1"/>
    <x v="7"/>
    <x v="1"/>
    <x v="0"/>
  </r>
  <r>
    <x v="43"/>
    <x v="38"/>
    <x v="1"/>
    <x v="3"/>
    <x v="1"/>
    <x v="1"/>
  </r>
  <r>
    <x v="57"/>
    <x v="39"/>
    <x v="1"/>
    <x v="3"/>
    <x v="4"/>
    <x v="0"/>
  </r>
  <r>
    <x v="57"/>
    <x v="39"/>
    <x v="1"/>
    <x v="6"/>
    <x v="4"/>
    <x v="1"/>
  </r>
  <r>
    <x v="69"/>
    <x v="39"/>
    <x v="1"/>
    <x v="0"/>
    <x v="4"/>
    <x v="0"/>
  </r>
  <r>
    <x v="69"/>
    <x v="39"/>
    <x v="1"/>
    <x v="3"/>
    <x v="4"/>
    <x v="1"/>
  </r>
  <r>
    <x v="59"/>
    <x v="40"/>
    <x v="1"/>
    <x v="7"/>
    <x v="0"/>
    <x v="1"/>
  </r>
  <r>
    <x v="59"/>
    <x v="40"/>
    <x v="1"/>
    <x v="0"/>
    <x v="0"/>
    <x v="0"/>
  </r>
  <r>
    <x v="65"/>
    <x v="41"/>
    <x v="1"/>
    <x v="3"/>
    <x v="0"/>
    <x v="1"/>
  </r>
  <r>
    <x v="65"/>
    <x v="41"/>
    <x v="1"/>
    <x v="1"/>
    <x v="0"/>
    <x v="0"/>
  </r>
  <r>
    <x v="60"/>
    <x v="42"/>
    <x v="1"/>
    <x v="1"/>
    <x v="3"/>
    <x v="1"/>
  </r>
  <r>
    <x v="60"/>
    <x v="42"/>
    <x v="1"/>
    <x v="2"/>
    <x v="3"/>
    <x v="0"/>
  </r>
  <r>
    <x v="66"/>
    <x v="42"/>
    <x v="1"/>
    <x v="3"/>
    <x v="5"/>
    <x v="1"/>
  </r>
  <r>
    <x v="66"/>
    <x v="42"/>
    <x v="1"/>
    <x v="0"/>
    <x v="5"/>
    <x v="0"/>
  </r>
  <r>
    <x v="40"/>
    <x v="43"/>
    <x v="1"/>
    <x v="2"/>
    <x v="3"/>
    <x v="0"/>
  </r>
  <r>
    <x v="40"/>
    <x v="43"/>
    <x v="1"/>
    <x v="5"/>
    <x v="3"/>
    <x v="1"/>
  </r>
  <r>
    <x v="50"/>
    <x v="44"/>
    <x v="1"/>
    <x v="5"/>
    <x v="3"/>
    <x v="0"/>
  </r>
  <r>
    <x v="50"/>
    <x v="44"/>
    <x v="1"/>
    <x v="0"/>
    <x v="3"/>
    <x v="1"/>
  </r>
  <r>
    <x v="79"/>
    <x v="45"/>
    <x v="1"/>
    <x v="6"/>
    <x v="3"/>
    <x v="1"/>
  </r>
  <r>
    <x v="79"/>
    <x v="45"/>
    <x v="1"/>
    <x v="2"/>
    <x v="3"/>
    <x v="0"/>
  </r>
  <r>
    <x v="42"/>
    <x v="46"/>
    <x v="1"/>
    <x v="3"/>
    <x v="1"/>
    <x v="0"/>
  </r>
  <r>
    <x v="42"/>
    <x v="46"/>
    <x v="1"/>
    <x v="1"/>
    <x v="1"/>
    <x v="1"/>
  </r>
  <r>
    <x v="58"/>
    <x v="47"/>
    <x v="1"/>
    <x v="4"/>
    <x v="1"/>
    <x v="0"/>
  </r>
  <r>
    <x v="58"/>
    <x v="47"/>
    <x v="1"/>
    <x v="3"/>
    <x v="1"/>
    <x v="1"/>
  </r>
  <r>
    <x v="77"/>
    <x v="47"/>
    <x v="1"/>
    <x v="1"/>
    <x v="0"/>
    <x v="0"/>
  </r>
  <r>
    <x v="77"/>
    <x v="47"/>
    <x v="1"/>
    <x v="2"/>
    <x v="0"/>
    <x v="1"/>
  </r>
  <r>
    <x v="44"/>
    <x v="48"/>
    <x v="1"/>
    <x v="1"/>
    <x v="3"/>
    <x v="0"/>
  </r>
  <r>
    <x v="44"/>
    <x v="48"/>
    <x v="1"/>
    <x v="3"/>
    <x v="3"/>
    <x v="1"/>
  </r>
  <r>
    <x v="45"/>
    <x v="49"/>
    <x v="1"/>
    <x v="6"/>
    <x v="5"/>
    <x v="1"/>
  </r>
  <r>
    <x v="45"/>
    <x v="49"/>
    <x v="1"/>
    <x v="0"/>
    <x v="5"/>
    <x v="0"/>
  </r>
  <r>
    <x v="52"/>
    <x v="49"/>
    <x v="1"/>
    <x v="5"/>
    <x v="2"/>
    <x v="1"/>
  </r>
  <r>
    <x v="52"/>
    <x v="49"/>
    <x v="1"/>
    <x v="6"/>
    <x v="2"/>
    <x v="0"/>
  </r>
  <r>
    <x v="76"/>
    <x v="50"/>
    <x v="1"/>
    <x v="7"/>
    <x v="5"/>
    <x v="1"/>
  </r>
  <r>
    <x v="76"/>
    <x v="50"/>
    <x v="1"/>
    <x v="6"/>
    <x v="5"/>
    <x v="0"/>
  </r>
  <r>
    <x v="70"/>
    <x v="51"/>
    <x v="1"/>
    <x v="6"/>
    <x v="4"/>
    <x v="1"/>
  </r>
  <r>
    <x v="70"/>
    <x v="51"/>
    <x v="1"/>
    <x v="7"/>
    <x v="4"/>
    <x v="0"/>
  </r>
  <r>
    <x v="63"/>
    <x v="52"/>
    <x v="1"/>
    <x v="3"/>
    <x v="5"/>
    <x v="0"/>
  </r>
  <r>
    <x v="63"/>
    <x v="52"/>
    <x v="1"/>
    <x v="1"/>
    <x v="5"/>
    <x v="1"/>
  </r>
  <r>
    <x v="46"/>
    <x v="53"/>
    <x v="1"/>
    <x v="1"/>
    <x v="4"/>
    <x v="0"/>
  </r>
  <r>
    <x v="46"/>
    <x v="53"/>
    <x v="1"/>
    <x v="7"/>
    <x v="4"/>
    <x v="1"/>
  </r>
  <r>
    <x v="72"/>
    <x v="53"/>
    <x v="1"/>
    <x v="3"/>
    <x v="2"/>
    <x v="0"/>
  </r>
  <r>
    <x v="72"/>
    <x v="53"/>
    <x v="1"/>
    <x v="4"/>
    <x v="2"/>
    <x v="1"/>
  </r>
  <r>
    <x v="51"/>
    <x v="54"/>
    <x v="1"/>
    <x v="5"/>
    <x v="2"/>
    <x v="0"/>
  </r>
  <r>
    <x v="51"/>
    <x v="54"/>
    <x v="1"/>
    <x v="1"/>
    <x v="2"/>
    <x v="1"/>
  </r>
  <r>
    <x v="64"/>
    <x v="55"/>
    <x v="1"/>
    <x v="7"/>
    <x v="2"/>
    <x v="0"/>
  </r>
  <r>
    <x v="64"/>
    <x v="55"/>
    <x v="1"/>
    <x v="6"/>
    <x v="2"/>
    <x v="1"/>
  </r>
  <r>
    <x v="71"/>
    <x v="55"/>
    <x v="1"/>
    <x v="2"/>
    <x v="1"/>
    <x v="0"/>
  </r>
  <r>
    <x v="71"/>
    <x v="55"/>
    <x v="1"/>
    <x v="3"/>
    <x v="1"/>
    <x v="1"/>
  </r>
  <r>
    <x v="74"/>
    <x v="55"/>
    <x v="1"/>
    <x v="4"/>
    <x v="0"/>
    <x v="0"/>
  </r>
  <r>
    <x v="74"/>
    <x v="55"/>
    <x v="1"/>
    <x v="0"/>
    <x v="0"/>
    <x v="1"/>
  </r>
  <r>
    <x v="48"/>
    <x v="56"/>
    <x v="1"/>
    <x v="0"/>
    <x v="2"/>
    <x v="1"/>
  </r>
  <r>
    <x v="48"/>
    <x v="56"/>
    <x v="1"/>
    <x v="1"/>
    <x v="2"/>
    <x v="0"/>
  </r>
  <r>
    <x v="68"/>
    <x v="56"/>
    <x v="1"/>
    <x v="5"/>
    <x v="0"/>
    <x v="1"/>
  </r>
  <r>
    <x v="68"/>
    <x v="56"/>
    <x v="1"/>
    <x v="3"/>
    <x v="0"/>
    <x v="0"/>
  </r>
  <r>
    <x v="47"/>
    <x v="57"/>
    <x v="1"/>
    <x v="4"/>
    <x v="1"/>
    <x v="0"/>
  </r>
  <r>
    <x v="47"/>
    <x v="57"/>
    <x v="1"/>
    <x v="1"/>
    <x v="1"/>
    <x v="1"/>
  </r>
  <r>
    <x v="54"/>
    <x v="57"/>
    <x v="1"/>
    <x v="6"/>
    <x v="0"/>
    <x v="0"/>
  </r>
  <r>
    <x v="54"/>
    <x v="57"/>
    <x v="1"/>
    <x v="5"/>
    <x v="0"/>
    <x v="1"/>
  </r>
  <r>
    <x v="73"/>
    <x v="58"/>
    <x v="1"/>
    <x v="6"/>
    <x v="4"/>
    <x v="0"/>
  </r>
  <r>
    <x v="73"/>
    <x v="58"/>
    <x v="1"/>
    <x v="4"/>
    <x v="4"/>
    <x v="1"/>
  </r>
  <r>
    <x v="53"/>
    <x v="59"/>
    <x v="1"/>
    <x v="4"/>
    <x v="5"/>
    <x v="0"/>
  </r>
  <r>
    <x v="53"/>
    <x v="59"/>
    <x v="1"/>
    <x v="0"/>
    <x v="5"/>
    <x v="1"/>
  </r>
  <r>
    <x v="55"/>
    <x v="59"/>
    <x v="1"/>
    <x v="3"/>
    <x v="2"/>
    <x v="1"/>
  </r>
  <r>
    <x v="55"/>
    <x v="59"/>
    <x v="1"/>
    <x v="4"/>
    <x v="2"/>
    <x v="0"/>
  </r>
  <r>
    <x v="62"/>
    <x v="60"/>
    <x v="1"/>
    <x v="2"/>
    <x v="5"/>
    <x v="1"/>
  </r>
  <r>
    <x v="62"/>
    <x v="60"/>
    <x v="1"/>
    <x v="1"/>
    <x v="5"/>
    <x v="0"/>
  </r>
  <r>
    <x v="61"/>
    <x v="61"/>
    <x v="1"/>
    <x v="0"/>
    <x v="3"/>
    <x v="0"/>
  </r>
  <r>
    <x v="61"/>
    <x v="61"/>
    <x v="1"/>
    <x v="2"/>
    <x v="3"/>
    <x v="1"/>
  </r>
  <r>
    <x v="86"/>
    <x v="62"/>
    <x v="2"/>
    <x v="7"/>
    <x v="3"/>
    <x v="0"/>
  </r>
  <r>
    <x v="86"/>
    <x v="62"/>
    <x v="2"/>
    <x v="5"/>
    <x v="3"/>
    <x v="1"/>
  </r>
  <r>
    <x v="94"/>
    <x v="63"/>
    <x v="2"/>
    <x v="0"/>
    <x v="0"/>
    <x v="0"/>
  </r>
  <r>
    <x v="94"/>
    <x v="63"/>
    <x v="2"/>
    <x v="6"/>
    <x v="0"/>
    <x v="1"/>
  </r>
  <r>
    <x v="81"/>
    <x v="64"/>
    <x v="2"/>
    <x v="5"/>
    <x v="4"/>
    <x v="1"/>
  </r>
  <r>
    <x v="81"/>
    <x v="64"/>
    <x v="2"/>
    <x v="4"/>
    <x v="4"/>
    <x v="0"/>
  </r>
  <r>
    <x v="104"/>
    <x v="65"/>
    <x v="2"/>
    <x v="7"/>
    <x v="4"/>
    <x v="1"/>
  </r>
  <r>
    <x v="104"/>
    <x v="65"/>
    <x v="2"/>
    <x v="1"/>
    <x v="4"/>
    <x v="0"/>
  </r>
  <r>
    <x v="106"/>
    <x v="66"/>
    <x v="2"/>
    <x v="7"/>
    <x v="3"/>
    <x v="0"/>
  </r>
  <r>
    <x v="106"/>
    <x v="66"/>
    <x v="2"/>
    <x v="3"/>
    <x v="3"/>
    <x v="1"/>
  </r>
  <r>
    <x v="87"/>
    <x v="67"/>
    <x v="2"/>
    <x v="6"/>
    <x v="3"/>
    <x v="1"/>
  </r>
  <r>
    <x v="87"/>
    <x v="67"/>
    <x v="2"/>
    <x v="1"/>
    <x v="3"/>
    <x v="0"/>
  </r>
  <r>
    <x v="114"/>
    <x v="68"/>
    <x v="2"/>
    <x v="5"/>
    <x v="1"/>
    <x v="0"/>
  </r>
  <r>
    <x v="114"/>
    <x v="68"/>
    <x v="2"/>
    <x v="0"/>
    <x v="1"/>
    <x v="1"/>
  </r>
  <r>
    <x v="109"/>
    <x v="69"/>
    <x v="2"/>
    <x v="6"/>
    <x v="5"/>
    <x v="0"/>
  </r>
  <r>
    <x v="109"/>
    <x v="69"/>
    <x v="2"/>
    <x v="1"/>
    <x v="5"/>
    <x v="1"/>
  </r>
  <r>
    <x v="113"/>
    <x v="70"/>
    <x v="2"/>
    <x v="0"/>
    <x v="3"/>
    <x v="1"/>
  </r>
  <r>
    <x v="113"/>
    <x v="70"/>
    <x v="2"/>
    <x v="4"/>
    <x v="3"/>
    <x v="0"/>
  </r>
  <r>
    <x v="90"/>
    <x v="71"/>
    <x v="2"/>
    <x v="5"/>
    <x v="5"/>
    <x v="0"/>
  </r>
  <r>
    <x v="90"/>
    <x v="71"/>
    <x v="2"/>
    <x v="1"/>
    <x v="5"/>
    <x v="1"/>
  </r>
  <r>
    <x v="97"/>
    <x v="72"/>
    <x v="2"/>
    <x v="7"/>
    <x v="0"/>
    <x v="1"/>
  </r>
  <r>
    <x v="97"/>
    <x v="72"/>
    <x v="2"/>
    <x v="5"/>
    <x v="0"/>
    <x v="0"/>
  </r>
  <r>
    <x v="91"/>
    <x v="73"/>
    <x v="2"/>
    <x v="5"/>
    <x v="1"/>
    <x v="0"/>
  </r>
  <r>
    <x v="91"/>
    <x v="73"/>
    <x v="2"/>
    <x v="4"/>
    <x v="1"/>
    <x v="1"/>
  </r>
  <r>
    <x v="115"/>
    <x v="74"/>
    <x v="2"/>
    <x v="0"/>
    <x v="1"/>
    <x v="0"/>
  </r>
  <r>
    <x v="115"/>
    <x v="74"/>
    <x v="2"/>
    <x v="1"/>
    <x v="1"/>
    <x v="1"/>
  </r>
  <r>
    <x v="82"/>
    <x v="75"/>
    <x v="2"/>
    <x v="1"/>
    <x v="2"/>
    <x v="1"/>
  </r>
  <r>
    <x v="82"/>
    <x v="75"/>
    <x v="2"/>
    <x v="3"/>
    <x v="2"/>
    <x v="0"/>
  </r>
  <r>
    <x v="107"/>
    <x v="75"/>
    <x v="2"/>
    <x v="1"/>
    <x v="0"/>
    <x v="0"/>
  </r>
  <r>
    <x v="107"/>
    <x v="75"/>
    <x v="2"/>
    <x v="7"/>
    <x v="0"/>
    <x v="1"/>
  </r>
  <r>
    <x v="89"/>
    <x v="76"/>
    <x v="2"/>
    <x v="2"/>
    <x v="1"/>
    <x v="1"/>
  </r>
  <r>
    <x v="89"/>
    <x v="76"/>
    <x v="2"/>
    <x v="3"/>
    <x v="1"/>
    <x v="0"/>
  </r>
  <r>
    <x v="102"/>
    <x v="77"/>
    <x v="2"/>
    <x v="0"/>
    <x v="1"/>
    <x v="0"/>
  </r>
  <r>
    <x v="102"/>
    <x v="77"/>
    <x v="2"/>
    <x v="5"/>
    <x v="1"/>
    <x v="1"/>
  </r>
  <r>
    <x v="110"/>
    <x v="77"/>
    <x v="2"/>
    <x v="3"/>
    <x v="0"/>
    <x v="1"/>
  </r>
  <r>
    <x v="110"/>
    <x v="77"/>
    <x v="2"/>
    <x v="0"/>
    <x v="0"/>
    <x v="0"/>
  </r>
  <r>
    <x v="105"/>
    <x v="78"/>
    <x v="2"/>
    <x v="2"/>
    <x v="2"/>
    <x v="1"/>
  </r>
  <r>
    <x v="105"/>
    <x v="78"/>
    <x v="2"/>
    <x v="6"/>
    <x v="2"/>
    <x v="0"/>
  </r>
  <r>
    <x v="108"/>
    <x v="78"/>
    <x v="2"/>
    <x v="4"/>
    <x v="4"/>
    <x v="0"/>
  </r>
  <r>
    <x v="108"/>
    <x v="78"/>
    <x v="2"/>
    <x v="7"/>
    <x v="4"/>
    <x v="1"/>
  </r>
  <r>
    <x v="112"/>
    <x v="78"/>
    <x v="2"/>
    <x v="0"/>
    <x v="0"/>
    <x v="1"/>
  </r>
  <r>
    <x v="112"/>
    <x v="78"/>
    <x v="2"/>
    <x v="1"/>
    <x v="0"/>
    <x v="0"/>
  </r>
  <r>
    <x v="117"/>
    <x v="79"/>
    <x v="2"/>
    <x v="1"/>
    <x v="2"/>
    <x v="0"/>
  </r>
  <r>
    <x v="117"/>
    <x v="79"/>
    <x v="2"/>
    <x v="4"/>
    <x v="2"/>
    <x v="1"/>
  </r>
  <r>
    <x v="88"/>
    <x v="80"/>
    <x v="2"/>
    <x v="7"/>
    <x v="4"/>
    <x v="0"/>
  </r>
  <r>
    <x v="88"/>
    <x v="80"/>
    <x v="2"/>
    <x v="1"/>
    <x v="4"/>
    <x v="1"/>
  </r>
  <r>
    <x v="92"/>
    <x v="80"/>
    <x v="2"/>
    <x v="7"/>
    <x v="4"/>
    <x v="1"/>
  </r>
  <r>
    <x v="92"/>
    <x v="80"/>
    <x v="2"/>
    <x v="1"/>
    <x v="4"/>
    <x v="0"/>
  </r>
  <r>
    <x v="93"/>
    <x v="80"/>
    <x v="2"/>
    <x v="2"/>
    <x v="1"/>
    <x v="1"/>
  </r>
  <r>
    <x v="93"/>
    <x v="80"/>
    <x v="2"/>
    <x v="7"/>
    <x v="1"/>
    <x v="0"/>
  </r>
  <r>
    <x v="85"/>
    <x v="81"/>
    <x v="2"/>
    <x v="2"/>
    <x v="2"/>
    <x v="0"/>
  </r>
  <r>
    <x v="85"/>
    <x v="81"/>
    <x v="2"/>
    <x v="0"/>
    <x v="2"/>
    <x v="1"/>
  </r>
  <r>
    <x v="95"/>
    <x v="81"/>
    <x v="2"/>
    <x v="4"/>
    <x v="1"/>
    <x v="1"/>
  </r>
  <r>
    <x v="95"/>
    <x v="81"/>
    <x v="2"/>
    <x v="7"/>
    <x v="1"/>
    <x v="0"/>
  </r>
  <r>
    <x v="116"/>
    <x v="81"/>
    <x v="2"/>
    <x v="7"/>
    <x v="2"/>
    <x v="0"/>
  </r>
  <r>
    <x v="116"/>
    <x v="81"/>
    <x v="2"/>
    <x v="3"/>
    <x v="2"/>
    <x v="1"/>
  </r>
  <r>
    <x v="98"/>
    <x v="82"/>
    <x v="2"/>
    <x v="2"/>
    <x v="5"/>
    <x v="1"/>
  </r>
  <r>
    <x v="98"/>
    <x v="82"/>
    <x v="2"/>
    <x v="6"/>
    <x v="5"/>
    <x v="0"/>
  </r>
  <r>
    <x v="101"/>
    <x v="82"/>
    <x v="2"/>
    <x v="6"/>
    <x v="5"/>
    <x v="1"/>
  </r>
  <r>
    <x v="101"/>
    <x v="82"/>
    <x v="2"/>
    <x v="4"/>
    <x v="5"/>
    <x v="0"/>
  </r>
  <r>
    <x v="83"/>
    <x v="83"/>
    <x v="2"/>
    <x v="6"/>
    <x v="4"/>
    <x v="1"/>
  </r>
  <r>
    <x v="83"/>
    <x v="83"/>
    <x v="2"/>
    <x v="1"/>
    <x v="4"/>
    <x v="0"/>
  </r>
  <r>
    <x v="96"/>
    <x v="83"/>
    <x v="2"/>
    <x v="2"/>
    <x v="1"/>
    <x v="0"/>
  </r>
  <r>
    <x v="96"/>
    <x v="83"/>
    <x v="2"/>
    <x v="4"/>
    <x v="1"/>
    <x v="1"/>
  </r>
  <r>
    <x v="100"/>
    <x v="84"/>
    <x v="2"/>
    <x v="1"/>
    <x v="3"/>
    <x v="0"/>
  </r>
  <r>
    <x v="100"/>
    <x v="84"/>
    <x v="2"/>
    <x v="3"/>
    <x v="3"/>
    <x v="1"/>
  </r>
  <r>
    <x v="99"/>
    <x v="85"/>
    <x v="2"/>
    <x v="3"/>
    <x v="5"/>
    <x v="1"/>
  </r>
  <r>
    <x v="99"/>
    <x v="85"/>
    <x v="2"/>
    <x v="0"/>
    <x v="5"/>
    <x v="0"/>
  </r>
  <r>
    <x v="119"/>
    <x v="85"/>
    <x v="2"/>
    <x v="6"/>
    <x v="5"/>
    <x v="0"/>
  </r>
  <r>
    <x v="119"/>
    <x v="85"/>
    <x v="2"/>
    <x v="0"/>
    <x v="5"/>
    <x v="1"/>
  </r>
  <r>
    <x v="103"/>
    <x v="86"/>
    <x v="2"/>
    <x v="7"/>
    <x v="5"/>
    <x v="0"/>
  </r>
  <r>
    <x v="103"/>
    <x v="86"/>
    <x v="2"/>
    <x v="4"/>
    <x v="5"/>
    <x v="1"/>
  </r>
  <r>
    <x v="80"/>
    <x v="87"/>
    <x v="2"/>
    <x v="0"/>
    <x v="3"/>
    <x v="0"/>
  </r>
  <r>
    <x v="80"/>
    <x v="87"/>
    <x v="2"/>
    <x v="3"/>
    <x v="3"/>
    <x v="1"/>
  </r>
  <r>
    <x v="111"/>
    <x v="87"/>
    <x v="2"/>
    <x v="6"/>
    <x v="0"/>
    <x v="0"/>
  </r>
  <r>
    <x v="111"/>
    <x v="87"/>
    <x v="2"/>
    <x v="4"/>
    <x v="0"/>
    <x v="1"/>
  </r>
  <r>
    <x v="84"/>
    <x v="88"/>
    <x v="2"/>
    <x v="6"/>
    <x v="4"/>
    <x v="0"/>
  </r>
  <r>
    <x v="84"/>
    <x v="88"/>
    <x v="2"/>
    <x v="4"/>
    <x v="4"/>
    <x v="1"/>
  </r>
  <r>
    <x v="118"/>
    <x v="89"/>
    <x v="2"/>
    <x v="7"/>
    <x v="1"/>
    <x v="1"/>
  </r>
  <r>
    <x v="118"/>
    <x v="89"/>
    <x v="2"/>
    <x v="1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_Team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4:B13" firstHeaderRow="1" firstDataRow="1" firstDataCol="1"/>
  <pivotFields count="6">
    <pivotField dataField="1" compact="0" showAll="0"/>
    <pivotField compact="0" showAll="0"/>
    <pivotField compact="0" showAll="0"/>
    <pivotField axis="axisRow" compact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showAll="0"/>
    <pivotField compact="0" showAll="0"/>
  </pivotFields>
  <rowFields count="1">
    <field x="3"/>
  </rowFields>
  <dataFields count="1">
    <dataField name="Count - Match ID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23.8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23.8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23.8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25"/>
    <col collapsed="false" customWidth="true" hidden="false" outlineLevel="0" max="6" min="6" style="0" width="9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</row>
    <row r="2" customFormat="false" ht="15" hidden="false" customHeight="false" outlineLevel="0" collapsed="false">
      <c r="A2" s="5" t="s">
        <v>32</v>
      </c>
      <c r="B2" s="6" t="n">
        <v>45373</v>
      </c>
      <c r="C2" s="5" t="n">
        <v>2024</v>
      </c>
      <c r="D2" s="5" t="s">
        <v>33</v>
      </c>
      <c r="E2" s="5" t="s">
        <v>34</v>
      </c>
      <c r="F2" s="5" t="s">
        <v>35</v>
      </c>
    </row>
    <row r="3" customFormat="false" ht="15" hidden="false" customHeight="false" outlineLevel="0" collapsed="false">
      <c r="A3" s="5" t="s">
        <v>32</v>
      </c>
      <c r="B3" s="6" t="n">
        <v>45373</v>
      </c>
      <c r="C3" s="5" t="n">
        <v>2024</v>
      </c>
      <c r="D3" s="5" t="s">
        <v>36</v>
      </c>
      <c r="E3" s="5" t="s">
        <v>34</v>
      </c>
      <c r="F3" s="5" t="s">
        <v>37</v>
      </c>
    </row>
    <row r="4" customFormat="false" ht="15" hidden="false" customHeight="false" outlineLevel="0" collapsed="false">
      <c r="A4" s="5" t="s">
        <v>38</v>
      </c>
      <c r="B4" s="6" t="n">
        <v>45374</v>
      </c>
      <c r="C4" s="5" t="n">
        <v>2024</v>
      </c>
      <c r="D4" s="5" t="s">
        <v>39</v>
      </c>
      <c r="E4" s="5" t="s">
        <v>40</v>
      </c>
      <c r="F4" s="5" t="s">
        <v>35</v>
      </c>
    </row>
    <row r="5" customFormat="false" ht="15" hidden="false" customHeight="false" outlineLevel="0" collapsed="false">
      <c r="A5" s="5" t="s">
        <v>38</v>
      </c>
      <c r="B5" s="6" t="n">
        <v>45374</v>
      </c>
      <c r="C5" s="5" t="n">
        <v>2024</v>
      </c>
      <c r="D5" s="5" t="s">
        <v>41</v>
      </c>
      <c r="E5" s="5" t="s">
        <v>40</v>
      </c>
      <c r="F5" s="5" t="s">
        <v>37</v>
      </c>
    </row>
    <row r="6" customFormat="false" ht="15" hidden="false" customHeight="false" outlineLevel="0" collapsed="false">
      <c r="A6" s="5" t="s">
        <v>42</v>
      </c>
      <c r="B6" s="6" t="n">
        <v>45374</v>
      </c>
      <c r="C6" s="5" t="n">
        <v>2024</v>
      </c>
      <c r="D6" s="5" t="s">
        <v>39</v>
      </c>
      <c r="E6" s="5" t="s">
        <v>43</v>
      </c>
      <c r="F6" s="5" t="s">
        <v>37</v>
      </c>
    </row>
    <row r="7" customFormat="false" ht="15" hidden="false" customHeight="false" outlineLevel="0" collapsed="false">
      <c r="A7" s="5" t="s">
        <v>42</v>
      </c>
      <c r="B7" s="6" t="n">
        <v>45374</v>
      </c>
      <c r="C7" s="5" t="n">
        <v>2024</v>
      </c>
      <c r="D7" s="5" t="s">
        <v>36</v>
      </c>
      <c r="E7" s="5" t="s">
        <v>43</v>
      </c>
      <c r="F7" s="5" t="s">
        <v>35</v>
      </c>
    </row>
    <row r="8" customFormat="false" ht="15" hidden="false" customHeight="false" outlineLevel="0" collapsed="false">
      <c r="A8" s="5" t="s">
        <v>44</v>
      </c>
      <c r="B8" s="6" t="n">
        <v>45375</v>
      </c>
      <c r="C8" s="5" t="n">
        <v>2024</v>
      </c>
      <c r="D8" s="5" t="s">
        <v>45</v>
      </c>
      <c r="E8" s="5" t="s">
        <v>43</v>
      </c>
      <c r="F8" s="5" t="s">
        <v>35</v>
      </c>
    </row>
    <row r="9" customFormat="false" ht="15" hidden="false" customHeight="false" outlineLevel="0" collapsed="false">
      <c r="A9" s="5" t="s">
        <v>44</v>
      </c>
      <c r="B9" s="6" t="n">
        <v>45375</v>
      </c>
      <c r="C9" s="5" t="n">
        <v>2024</v>
      </c>
      <c r="D9" s="5" t="s">
        <v>36</v>
      </c>
      <c r="E9" s="5" t="s">
        <v>43</v>
      </c>
      <c r="F9" s="5" t="s">
        <v>37</v>
      </c>
    </row>
    <row r="10" customFormat="false" ht="15" hidden="false" customHeight="false" outlineLevel="0" collapsed="false">
      <c r="A10" s="5" t="s">
        <v>46</v>
      </c>
      <c r="B10" s="6" t="n">
        <v>45382</v>
      </c>
      <c r="C10" s="5" t="n">
        <v>2024</v>
      </c>
      <c r="D10" s="5" t="s">
        <v>33</v>
      </c>
      <c r="E10" s="5" t="s">
        <v>34</v>
      </c>
      <c r="F10" s="5" t="s">
        <v>37</v>
      </c>
    </row>
    <row r="11" customFormat="false" ht="15" hidden="false" customHeight="false" outlineLevel="0" collapsed="false">
      <c r="A11" s="5" t="s">
        <v>46</v>
      </c>
      <c r="B11" s="6" t="n">
        <v>45382</v>
      </c>
      <c r="C11" s="5" t="n">
        <v>2024</v>
      </c>
      <c r="D11" s="5" t="s">
        <v>41</v>
      </c>
      <c r="E11" s="5" t="s">
        <v>34</v>
      </c>
      <c r="F11" s="5" t="s">
        <v>35</v>
      </c>
    </row>
    <row r="12" customFormat="false" ht="15" hidden="false" customHeight="false" outlineLevel="0" collapsed="false">
      <c r="A12" s="5" t="s">
        <v>47</v>
      </c>
      <c r="B12" s="6" t="n">
        <v>45385</v>
      </c>
      <c r="C12" s="5" t="n">
        <v>2024</v>
      </c>
      <c r="D12" s="5" t="s">
        <v>45</v>
      </c>
      <c r="E12" s="5" t="s">
        <v>48</v>
      </c>
      <c r="F12" s="5" t="s">
        <v>35</v>
      </c>
    </row>
    <row r="13" customFormat="false" ht="15" hidden="false" customHeight="false" outlineLevel="0" collapsed="false">
      <c r="A13" s="5" t="s">
        <v>47</v>
      </c>
      <c r="B13" s="6" t="n">
        <v>45385</v>
      </c>
      <c r="C13" s="5" t="n">
        <v>2024</v>
      </c>
      <c r="D13" s="5" t="s">
        <v>33</v>
      </c>
      <c r="E13" s="5" t="s">
        <v>48</v>
      </c>
      <c r="F13" s="5" t="s">
        <v>37</v>
      </c>
    </row>
    <row r="14" customFormat="false" ht="15" hidden="false" customHeight="false" outlineLevel="0" collapsed="false">
      <c r="A14" s="5" t="s">
        <v>49</v>
      </c>
      <c r="B14" s="6" t="n">
        <v>45390</v>
      </c>
      <c r="C14" s="5" t="n">
        <v>2024</v>
      </c>
      <c r="D14" s="5" t="s">
        <v>50</v>
      </c>
      <c r="E14" s="5" t="s">
        <v>51</v>
      </c>
      <c r="F14" s="5" t="s">
        <v>37</v>
      </c>
    </row>
    <row r="15" customFormat="false" ht="15" hidden="false" customHeight="false" outlineLevel="0" collapsed="false">
      <c r="A15" s="5" t="s">
        <v>49</v>
      </c>
      <c r="B15" s="6" t="n">
        <v>45390</v>
      </c>
      <c r="C15" s="5" t="n">
        <v>2024</v>
      </c>
      <c r="D15" s="5" t="s">
        <v>39</v>
      </c>
      <c r="E15" s="5" t="s">
        <v>51</v>
      </c>
      <c r="F15" s="5" t="s">
        <v>35</v>
      </c>
    </row>
    <row r="16" customFormat="false" ht="15" hidden="false" customHeight="false" outlineLevel="0" collapsed="false">
      <c r="A16" s="5" t="s">
        <v>52</v>
      </c>
      <c r="B16" s="6" t="n">
        <v>45391</v>
      </c>
      <c r="C16" s="5" t="n">
        <v>2024</v>
      </c>
      <c r="D16" s="5" t="s">
        <v>36</v>
      </c>
      <c r="E16" s="5" t="s">
        <v>48</v>
      </c>
      <c r="F16" s="5" t="s">
        <v>37</v>
      </c>
    </row>
    <row r="17" customFormat="false" ht="15" hidden="false" customHeight="false" outlineLevel="0" collapsed="false">
      <c r="A17" s="5" t="s">
        <v>52</v>
      </c>
      <c r="B17" s="6" t="n">
        <v>45391</v>
      </c>
      <c r="C17" s="5" t="n">
        <v>2024</v>
      </c>
      <c r="D17" s="5" t="s">
        <v>53</v>
      </c>
      <c r="E17" s="5" t="s">
        <v>48</v>
      </c>
      <c r="F17" s="5" t="s">
        <v>35</v>
      </c>
    </row>
    <row r="18" customFormat="false" ht="15" hidden="false" customHeight="false" outlineLevel="0" collapsed="false">
      <c r="A18" s="5" t="s">
        <v>54</v>
      </c>
      <c r="B18" s="6" t="n">
        <v>45391</v>
      </c>
      <c r="C18" s="5" t="n">
        <v>2024</v>
      </c>
      <c r="D18" s="5" t="s">
        <v>41</v>
      </c>
      <c r="E18" s="5" t="s">
        <v>48</v>
      </c>
      <c r="F18" s="5" t="s">
        <v>37</v>
      </c>
    </row>
    <row r="19" customFormat="false" ht="15" hidden="false" customHeight="false" outlineLevel="0" collapsed="false">
      <c r="A19" s="5" t="s">
        <v>54</v>
      </c>
      <c r="B19" s="6" t="n">
        <v>45391</v>
      </c>
      <c r="C19" s="5" t="n">
        <v>2024</v>
      </c>
      <c r="D19" s="5" t="s">
        <v>50</v>
      </c>
      <c r="E19" s="5" t="s">
        <v>48</v>
      </c>
      <c r="F19" s="5" t="s">
        <v>35</v>
      </c>
    </row>
    <row r="20" customFormat="false" ht="15" hidden="false" customHeight="false" outlineLevel="0" collapsed="false">
      <c r="A20" s="5" t="s">
        <v>55</v>
      </c>
      <c r="B20" s="6" t="n">
        <v>45391</v>
      </c>
      <c r="C20" s="5" t="n">
        <v>2024</v>
      </c>
      <c r="D20" s="5" t="s">
        <v>50</v>
      </c>
      <c r="E20" s="5" t="s">
        <v>34</v>
      </c>
      <c r="F20" s="5" t="s">
        <v>37</v>
      </c>
    </row>
    <row r="21" customFormat="false" ht="15" hidden="false" customHeight="false" outlineLevel="0" collapsed="false">
      <c r="A21" s="5" t="s">
        <v>55</v>
      </c>
      <c r="B21" s="6" t="n">
        <v>45391</v>
      </c>
      <c r="C21" s="5" t="n">
        <v>2024</v>
      </c>
      <c r="D21" s="5" t="s">
        <v>36</v>
      </c>
      <c r="E21" s="5" t="s">
        <v>34</v>
      </c>
      <c r="F21" s="5" t="s">
        <v>35</v>
      </c>
    </row>
    <row r="22" customFormat="false" ht="15" hidden="false" customHeight="false" outlineLevel="0" collapsed="false">
      <c r="A22" s="5" t="s">
        <v>56</v>
      </c>
      <c r="B22" s="6" t="n">
        <v>45392</v>
      </c>
      <c r="C22" s="5" t="n">
        <v>2024</v>
      </c>
      <c r="D22" s="5" t="s">
        <v>41</v>
      </c>
      <c r="E22" s="5" t="s">
        <v>57</v>
      </c>
      <c r="F22" s="5" t="s">
        <v>37</v>
      </c>
    </row>
    <row r="23" customFormat="false" ht="15" hidden="false" customHeight="false" outlineLevel="0" collapsed="false">
      <c r="A23" s="5" t="s">
        <v>56</v>
      </c>
      <c r="B23" s="6" t="n">
        <v>45392</v>
      </c>
      <c r="C23" s="5" t="n">
        <v>2024</v>
      </c>
      <c r="D23" s="5" t="s">
        <v>53</v>
      </c>
      <c r="E23" s="5" t="s">
        <v>57</v>
      </c>
      <c r="F23" s="5" t="s">
        <v>35</v>
      </c>
    </row>
    <row r="24" customFormat="false" ht="15" hidden="false" customHeight="false" outlineLevel="0" collapsed="false">
      <c r="A24" s="5" t="s">
        <v>58</v>
      </c>
      <c r="B24" s="6" t="n">
        <v>45394</v>
      </c>
      <c r="C24" s="5" t="n">
        <v>2024</v>
      </c>
      <c r="D24" s="5" t="s">
        <v>45</v>
      </c>
      <c r="E24" s="5" t="s">
        <v>57</v>
      </c>
      <c r="F24" s="5" t="s">
        <v>35</v>
      </c>
    </row>
    <row r="25" customFormat="false" ht="15" hidden="false" customHeight="false" outlineLevel="0" collapsed="false">
      <c r="A25" s="5" t="s">
        <v>58</v>
      </c>
      <c r="B25" s="6" t="n">
        <v>45394</v>
      </c>
      <c r="C25" s="5" t="n">
        <v>2024</v>
      </c>
      <c r="D25" s="5" t="s">
        <v>50</v>
      </c>
      <c r="E25" s="5" t="s">
        <v>57</v>
      </c>
      <c r="F25" s="5" t="s">
        <v>37</v>
      </c>
    </row>
    <row r="26" customFormat="false" ht="15" hidden="false" customHeight="false" outlineLevel="0" collapsed="false">
      <c r="A26" s="5" t="s">
        <v>59</v>
      </c>
      <c r="B26" s="6" t="n">
        <v>45394</v>
      </c>
      <c r="C26" s="5" t="n">
        <v>2024</v>
      </c>
      <c r="D26" s="5" t="s">
        <v>36</v>
      </c>
      <c r="E26" s="5" t="s">
        <v>43</v>
      </c>
      <c r="F26" s="5" t="s">
        <v>35</v>
      </c>
    </row>
    <row r="27" customFormat="false" ht="15" hidden="false" customHeight="false" outlineLevel="0" collapsed="false">
      <c r="A27" s="5" t="s">
        <v>59</v>
      </c>
      <c r="B27" s="6" t="n">
        <v>45394</v>
      </c>
      <c r="C27" s="5" t="n">
        <v>2024</v>
      </c>
      <c r="D27" s="5" t="s">
        <v>45</v>
      </c>
      <c r="E27" s="5" t="s">
        <v>43</v>
      </c>
      <c r="F27" s="5" t="s">
        <v>37</v>
      </c>
    </row>
    <row r="28" customFormat="false" ht="15" hidden="false" customHeight="false" outlineLevel="0" collapsed="false">
      <c r="A28" s="5" t="s">
        <v>60</v>
      </c>
      <c r="B28" s="6" t="n">
        <v>45395</v>
      </c>
      <c r="C28" s="5" t="n">
        <v>2024</v>
      </c>
      <c r="D28" s="5" t="s">
        <v>45</v>
      </c>
      <c r="E28" s="5" t="s">
        <v>43</v>
      </c>
      <c r="F28" s="5" t="s">
        <v>35</v>
      </c>
    </row>
    <row r="29" customFormat="false" ht="15" hidden="false" customHeight="false" outlineLevel="0" collapsed="false">
      <c r="A29" s="5" t="s">
        <v>60</v>
      </c>
      <c r="B29" s="6" t="n">
        <v>45395</v>
      </c>
      <c r="C29" s="5" t="n">
        <v>2024</v>
      </c>
      <c r="D29" s="5" t="s">
        <v>36</v>
      </c>
      <c r="E29" s="5" t="s">
        <v>43</v>
      </c>
      <c r="F29" s="5" t="s">
        <v>37</v>
      </c>
    </row>
    <row r="30" customFormat="false" ht="15" hidden="false" customHeight="false" outlineLevel="0" collapsed="false">
      <c r="A30" s="5" t="s">
        <v>61</v>
      </c>
      <c r="B30" s="6" t="n">
        <v>45400</v>
      </c>
      <c r="C30" s="5" t="n">
        <v>2024</v>
      </c>
      <c r="D30" s="5" t="s">
        <v>50</v>
      </c>
      <c r="E30" s="5" t="s">
        <v>40</v>
      </c>
      <c r="F30" s="5" t="s">
        <v>37</v>
      </c>
    </row>
    <row r="31" customFormat="false" ht="15" hidden="false" customHeight="false" outlineLevel="0" collapsed="false">
      <c r="A31" s="5" t="s">
        <v>61</v>
      </c>
      <c r="B31" s="6" t="n">
        <v>45400</v>
      </c>
      <c r="C31" s="5" t="n">
        <v>2024</v>
      </c>
      <c r="D31" s="5" t="s">
        <v>53</v>
      </c>
      <c r="E31" s="5" t="s">
        <v>40</v>
      </c>
      <c r="F31" s="5" t="s">
        <v>35</v>
      </c>
    </row>
    <row r="32" customFormat="false" ht="15" hidden="false" customHeight="false" outlineLevel="0" collapsed="false">
      <c r="A32" s="5" t="s">
        <v>62</v>
      </c>
      <c r="B32" s="6" t="n">
        <v>45401</v>
      </c>
      <c r="C32" s="5" t="n">
        <v>2024</v>
      </c>
      <c r="D32" s="5" t="s">
        <v>36</v>
      </c>
      <c r="E32" s="5" t="s">
        <v>51</v>
      </c>
      <c r="F32" s="5" t="s">
        <v>35</v>
      </c>
    </row>
    <row r="33" customFormat="false" ht="15" hidden="false" customHeight="false" outlineLevel="0" collapsed="false">
      <c r="A33" s="5" t="s">
        <v>62</v>
      </c>
      <c r="B33" s="6" t="n">
        <v>45401</v>
      </c>
      <c r="C33" s="5" t="n">
        <v>2024</v>
      </c>
      <c r="D33" s="5" t="s">
        <v>33</v>
      </c>
      <c r="E33" s="5" t="s">
        <v>51</v>
      </c>
      <c r="F33" s="5" t="s">
        <v>37</v>
      </c>
    </row>
    <row r="34" customFormat="false" ht="15" hidden="false" customHeight="false" outlineLevel="0" collapsed="false">
      <c r="A34" s="5" t="s">
        <v>63</v>
      </c>
      <c r="B34" s="6" t="n">
        <v>45403</v>
      </c>
      <c r="C34" s="5" t="n">
        <v>2024</v>
      </c>
      <c r="D34" s="5" t="s">
        <v>53</v>
      </c>
      <c r="E34" s="5" t="s">
        <v>34</v>
      </c>
      <c r="F34" s="5" t="s">
        <v>37</v>
      </c>
    </row>
    <row r="35" customFormat="false" ht="15" hidden="false" customHeight="false" outlineLevel="0" collapsed="false">
      <c r="A35" s="5" t="s">
        <v>63</v>
      </c>
      <c r="B35" s="6" t="n">
        <v>45403</v>
      </c>
      <c r="C35" s="5" t="n">
        <v>2024</v>
      </c>
      <c r="D35" s="5" t="s">
        <v>33</v>
      </c>
      <c r="E35" s="5" t="s">
        <v>34</v>
      </c>
      <c r="F35" s="5" t="s">
        <v>35</v>
      </c>
    </row>
    <row r="36" customFormat="false" ht="15" hidden="false" customHeight="false" outlineLevel="0" collapsed="false">
      <c r="A36" s="5" t="s">
        <v>64</v>
      </c>
      <c r="B36" s="6" t="n">
        <v>45403</v>
      </c>
      <c r="C36" s="5" t="n">
        <v>2024</v>
      </c>
      <c r="D36" s="5" t="s">
        <v>53</v>
      </c>
      <c r="E36" s="5" t="s">
        <v>43</v>
      </c>
      <c r="F36" s="5" t="s">
        <v>37</v>
      </c>
    </row>
    <row r="37" customFormat="false" ht="15" hidden="false" customHeight="false" outlineLevel="0" collapsed="false">
      <c r="A37" s="5" t="s">
        <v>64</v>
      </c>
      <c r="B37" s="6" t="n">
        <v>45403</v>
      </c>
      <c r="C37" s="5" t="n">
        <v>2024</v>
      </c>
      <c r="D37" s="5" t="s">
        <v>41</v>
      </c>
      <c r="E37" s="5" t="s">
        <v>43</v>
      </c>
      <c r="F37" s="5" t="s">
        <v>35</v>
      </c>
    </row>
    <row r="38" customFormat="false" ht="15" hidden="false" customHeight="false" outlineLevel="0" collapsed="false">
      <c r="A38" s="5" t="s">
        <v>65</v>
      </c>
      <c r="B38" s="6" t="n">
        <v>45404</v>
      </c>
      <c r="C38" s="5" t="n">
        <v>2024</v>
      </c>
      <c r="D38" s="5" t="s">
        <v>36</v>
      </c>
      <c r="E38" s="5" t="s">
        <v>48</v>
      </c>
      <c r="F38" s="5" t="s">
        <v>35</v>
      </c>
    </row>
    <row r="39" customFormat="false" ht="15" hidden="false" customHeight="false" outlineLevel="0" collapsed="false">
      <c r="A39" s="5" t="s">
        <v>65</v>
      </c>
      <c r="B39" s="6" t="n">
        <v>45404</v>
      </c>
      <c r="C39" s="5" t="n">
        <v>2024</v>
      </c>
      <c r="D39" s="5" t="s">
        <v>41</v>
      </c>
      <c r="E39" s="5" t="s">
        <v>48</v>
      </c>
      <c r="F39" s="5" t="s">
        <v>37</v>
      </c>
    </row>
    <row r="40" customFormat="false" ht="15" hidden="false" customHeight="false" outlineLevel="0" collapsed="false">
      <c r="A40" s="5" t="s">
        <v>66</v>
      </c>
      <c r="B40" s="6" t="n">
        <v>45405</v>
      </c>
      <c r="C40" s="5" t="n">
        <v>2024</v>
      </c>
      <c r="D40" s="5" t="s">
        <v>50</v>
      </c>
      <c r="E40" s="5" t="s">
        <v>48</v>
      </c>
      <c r="F40" s="5" t="s">
        <v>37</v>
      </c>
    </row>
    <row r="41" customFormat="false" ht="15" hidden="false" customHeight="false" outlineLevel="0" collapsed="false">
      <c r="A41" s="5" t="s">
        <v>66</v>
      </c>
      <c r="B41" s="6" t="n">
        <v>45405</v>
      </c>
      <c r="C41" s="5" t="n">
        <v>2024</v>
      </c>
      <c r="D41" s="5" t="s">
        <v>53</v>
      </c>
      <c r="E41" s="5" t="s">
        <v>48</v>
      </c>
      <c r="F41" s="5" t="s">
        <v>35</v>
      </c>
    </row>
    <row r="42" customFormat="false" ht="15" hidden="false" customHeight="false" outlineLevel="0" collapsed="false">
      <c r="A42" s="5" t="s">
        <v>67</v>
      </c>
      <c r="B42" s="6" t="n">
        <v>45406</v>
      </c>
      <c r="C42" s="5" t="n">
        <v>2024</v>
      </c>
      <c r="D42" s="5" t="s">
        <v>68</v>
      </c>
      <c r="E42" s="5" t="s">
        <v>57</v>
      </c>
      <c r="F42" s="5" t="s">
        <v>35</v>
      </c>
    </row>
    <row r="43" customFormat="false" ht="15" hidden="false" customHeight="false" outlineLevel="0" collapsed="false">
      <c r="A43" s="5" t="s">
        <v>67</v>
      </c>
      <c r="B43" s="6" t="n">
        <v>45406</v>
      </c>
      <c r="C43" s="5" t="n">
        <v>2024</v>
      </c>
      <c r="D43" s="5" t="s">
        <v>53</v>
      </c>
      <c r="E43" s="5" t="s">
        <v>57</v>
      </c>
      <c r="F43" s="5" t="s">
        <v>37</v>
      </c>
    </row>
    <row r="44" customFormat="false" ht="15" hidden="false" customHeight="false" outlineLevel="0" collapsed="false">
      <c r="A44" s="5" t="s">
        <v>69</v>
      </c>
      <c r="B44" s="6" t="n">
        <v>45411</v>
      </c>
      <c r="C44" s="5" t="n">
        <v>2024</v>
      </c>
      <c r="D44" s="5" t="s">
        <v>68</v>
      </c>
      <c r="E44" s="5" t="s">
        <v>51</v>
      </c>
      <c r="F44" s="5" t="s">
        <v>37</v>
      </c>
    </row>
    <row r="45" customFormat="false" ht="15" hidden="false" customHeight="false" outlineLevel="0" collapsed="false">
      <c r="A45" s="5" t="s">
        <v>69</v>
      </c>
      <c r="B45" s="6" t="n">
        <v>45411</v>
      </c>
      <c r="C45" s="5" t="n">
        <v>2024</v>
      </c>
      <c r="D45" s="5" t="s">
        <v>45</v>
      </c>
      <c r="E45" s="5" t="s">
        <v>51</v>
      </c>
      <c r="F45" s="5" t="s">
        <v>35</v>
      </c>
    </row>
    <row r="46" customFormat="false" ht="15" hidden="false" customHeight="false" outlineLevel="0" collapsed="false">
      <c r="A46" s="5" t="s">
        <v>70</v>
      </c>
      <c r="B46" s="6" t="n">
        <v>45412</v>
      </c>
      <c r="C46" s="5" t="n">
        <v>2024</v>
      </c>
      <c r="D46" s="5" t="s">
        <v>41</v>
      </c>
      <c r="E46" s="5" t="s">
        <v>48</v>
      </c>
      <c r="F46" s="5" t="s">
        <v>35</v>
      </c>
    </row>
    <row r="47" customFormat="false" ht="15" hidden="false" customHeight="false" outlineLevel="0" collapsed="false">
      <c r="A47" s="5" t="s">
        <v>70</v>
      </c>
      <c r="B47" s="6" t="n">
        <v>45412</v>
      </c>
      <c r="C47" s="5" t="n">
        <v>2024</v>
      </c>
      <c r="D47" s="5" t="s">
        <v>39</v>
      </c>
      <c r="E47" s="5" t="s">
        <v>48</v>
      </c>
      <c r="F47" s="5" t="s">
        <v>37</v>
      </c>
    </row>
    <row r="48" customFormat="false" ht="15" hidden="false" customHeight="false" outlineLevel="0" collapsed="false">
      <c r="A48" s="5" t="s">
        <v>71</v>
      </c>
      <c r="B48" s="6" t="n">
        <v>45413</v>
      </c>
      <c r="C48" s="5" t="n">
        <v>2024</v>
      </c>
      <c r="D48" s="5" t="s">
        <v>33</v>
      </c>
      <c r="E48" s="5" t="s">
        <v>51</v>
      </c>
      <c r="F48" s="5" t="s">
        <v>37</v>
      </c>
    </row>
    <row r="49" customFormat="false" ht="15" hidden="false" customHeight="false" outlineLevel="0" collapsed="false">
      <c r="A49" s="5" t="s">
        <v>71</v>
      </c>
      <c r="B49" s="6" t="n">
        <v>45413</v>
      </c>
      <c r="C49" s="5" t="n">
        <v>2024</v>
      </c>
      <c r="D49" s="5" t="s">
        <v>68</v>
      </c>
      <c r="E49" s="5" t="s">
        <v>51</v>
      </c>
      <c r="F49" s="5" t="s">
        <v>35</v>
      </c>
    </row>
    <row r="50" customFormat="false" ht="15" hidden="false" customHeight="false" outlineLevel="0" collapsed="false">
      <c r="A50" s="5" t="s">
        <v>72</v>
      </c>
      <c r="B50" s="6" t="n">
        <v>45414</v>
      </c>
      <c r="C50" s="5" t="n">
        <v>2024</v>
      </c>
      <c r="D50" s="5" t="s">
        <v>53</v>
      </c>
      <c r="E50" s="5" t="s">
        <v>57</v>
      </c>
      <c r="F50" s="5" t="s">
        <v>35</v>
      </c>
    </row>
    <row r="51" customFormat="false" ht="15" hidden="false" customHeight="false" outlineLevel="0" collapsed="false">
      <c r="A51" s="5" t="s">
        <v>72</v>
      </c>
      <c r="B51" s="6" t="n">
        <v>45414</v>
      </c>
      <c r="C51" s="5" t="n">
        <v>2024</v>
      </c>
      <c r="D51" s="5" t="s">
        <v>39</v>
      </c>
      <c r="E51" s="5" t="s">
        <v>57</v>
      </c>
      <c r="F51" s="5" t="s">
        <v>37</v>
      </c>
    </row>
    <row r="52" customFormat="false" ht="15" hidden="false" customHeight="false" outlineLevel="0" collapsed="false">
      <c r="A52" s="5" t="s">
        <v>73</v>
      </c>
      <c r="B52" s="6" t="n">
        <v>45416</v>
      </c>
      <c r="C52" s="5" t="n">
        <v>2024</v>
      </c>
      <c r="D52" s="5" t="s">
        <v>36</v>
      </c>
      <c r="E52" s="5" t="s">
        <v>48</v>
      </c>
      <c r="F52" s="5" t="s">
        <v>37</v>
      </c>
    </row>
    <row r="53" customFormat="false" ht="15" hidden="false" customHeight="false" outlineLevel="0" collapsed="false">
      <c r="A53" s="5" t="s">
        <v>73</v>
      </c>
      <c r="B53" s="6" t="n">
        <v>45416</v>
      </c>
      <c r="C53" s="5" t="n">
        <v>2024</v>
      </c>
      <c r="D53" s="5" t="s">
        <v>45</v>
      </c>
      <c r="E53" s="5" t="s">
        <v>48</v>
      </c>
      <c r="F53" s="5" t="s">
        <v>35</v>
      </c>
    </row>
    <row r="54" customFormat="false" ht="15" hidden="false" customHeight="false" outlineLevel="0" collapsed="false">
      <c r="A54" s="5" t="s">
        <v>74</v>
      </c>
      <c r="B54" s="6" t="n">
        <v>45419</v>
      </c>
      <c r="C54" s="5" t="n">
        <v>2024</v>
      </c>
      <c r="D54" s="5" t="s">
        <v>36</v>
      </c>
      <c r="E54" s="5" t="s">
        <v>43</v>
      </c>
      <c r="F54" s="5" t="s">
        <v>37</v>
      </c>
    </row>
    <row r="55" customFormat="false" ht="15" hidden="false" customHeight="false" outlineLevel="0" collapsed="false">
      <c r="A55" s="5" t="s">
        <v>74</v>
      </c>
      <c r="B55" s="6" t="n">
        <v>45419</v>
      </c>
      <c r="C55" s="5" t="n">
        <v>2024</v>
      </c>
      <c r="D55" s="5" t="s">
        <v>39</v>
      </c>
      <c r="E55" s="5" t="s">
        <v>43</v>
      </c>
      <c r="F55" s="5" t="s">
        <v>35</v>
      </c>
    </row>
    <row r="56" customFormat="false" ht="15" hidden="false" customHeight="false" outlineLevel="0" collapsed="false">
      <c r="A56" s="5" t="s">
        <v>75</v>
      </c>
      <c r="B56" s="6" t="n">
        <v>45421</v>
      </c>
      <c r="C56" s="5" t="n">
        <v>2024</v>
      </c>
      <c r="D56" s="5" t="s">
        <v>39</v>
      </c>
      <c r="E56" s="5" t="s">
        <v>48</v>
      </c>
      <c r="F56" s="5" t="s">
        <v>37</v>
      </c>
    </row>
    <row r="57" customFormat="false" ht="15" hidden="false" customHeight="false" outlineLevel="0" collapsed="false">
      <c r="A57" s="5" t="s">
        <v>75</v>
      </c>
      <c r="B57" s="6" t="n">
        <v>45421</v>
      </c>
      <c r="C57" s="5" t="n">
        <v>2024</v>
      </c>
      <c r="D57" s="5" t="s">
        <v>36</v>
      </c>
      <c r="E57" s="5" t="s">
        <v>48</v>
      </c>
      <c r="F57" s="5" t="s">
        <v>35</v>
      </c>
    </row>
    <row r="58" customFormat="false" ht="15" hidden="false" customHeight="false" outlineLevel="0" collapsed="false">
      <c r="A58" s="5" t="s">
        <v>76</v>
      </c>
      <c r="B58" s="6" t="n">
        <v>45422</v>
      </c>
      <c r="C58" s="5" t="n">
        <v>2024</v>
      </c>
      <c r="D58" s="5" t="s">
        <v>41</v>
      </c>
      <c r="E58" s="5" t="s">
        <v>40</v>
      </c>
      <c r="F58" s="5" t="s">
        <v>35</v>
      </c>
    </row>
    <row r="59" customFormat="false" ht="15" hidden="false" customHeight="false" outlineLevel="0" collapsed="false">
      <c r="A59" s="5" t="s">
        <v>76</v>
      </c>
      <c r="B59" s="6" t="n">
        <v>45422</v>
      </c>
      <c r="C59" s="5" t="n">
        <v>2024</v>
      </c>
      <c r="D59" s="5" t="s">
        <v>33</v>
      </c>
      <c r="E59" s="5" t="s">
        <v>40</v>
      </c>
      <c r="F59" s="5" t="s">
        <v>37</v>
      </c>
    </row>
    <row r="60" customFormat="false" ht="15" hidden="false" customHeight="false" outlineLevel="0" collapsed="false">
      <c r="A60" s="5" t="s">
        <v>77</v>
      </c>
      <c r="B60" s="6" t="n">
        <v>45424</v>
      </c>
      <c r="C60" s="5" t="n">
        <v>2024</v>
      </c>
      <c r="D60" s="5" t="s">
        <v>36</v>
      </c>
      <c r="E60" s="5" t="s">
        <v>48</v>
      </c>
      <c r="F60" s="5" t="s">
        <v>35</v>
      </c>
    </row>
    <row r="61" customFormat="false" ht="15" hidden="false" customHeight="false" outlineLevel="0" collapsed="false">
      <c r="A61" s="5" t="s">
        <v>77</v>
      </c>
      <c r="B61" s="6" t="n">
        <v>45424</v>
      </c>
      <c r="C61" s="5" t="n">
        <v>2024</v>
      </c>
      <c r="D61" s="5" t="s">
        <v>39</v>
      </c>
      <c r="E61" s="5" t="s">
        <v>48</v>
      </c>
      <c r="F61" s="5" t="s">
        <v>37</v>
      </c>
    </row>
    <row r="62" customFormat="false" ht="15" hidden="false" customHeight="false" outlineLevel="0" collapsed="false">
      <c r="A62" s="5" t="s">
        <v>78</v>
      </c>
      <c r="B62" s="6" t="n">
        <v>45425</v>
      </c>
      <c r="C62" s="5" t="n">
        <v>2024</v>
      </c>
      <c r="D62" s="5" t="s">
        <v>53</v>
      </c>
      <c r="E62" s="5" t="s">
        <v>51</v>
      </c>
      <c r="F62" s="5" t="s">
        <v>35</v>
      </c>
    </row>
    <row r="63" customFormat="false" ht="15" hidden="false" customHeight="false" outlineLevel="0" collapsed="false">
      <c r="A63" s="5" t="s">
        <v>78</v>
      </c>
      <c r="B63" s="6" t="n">
        <v>45425</v>
      </c>
      <c r="C63" s="5" t="n">
        <v>2024</v>
      </c>
      <c r="D63" s="5" t="s">
        <v>33</v>
      </c>
      <c r="E63" s="5" t="s">
        <v>51</v>
      </c>
      <c r="F63" s="5" t="s">
        <v>37</v>
      </c>
    </row>
    <row r="64" customFormat="false" ht="15" hidden="false" customHeight="false" outlineLevel="0" collapsed="false">
      <c r="A64" s="5" t="s">
        <v>79</v>
      </c>
      <c r="B64" s="6" t="n">
        <v>45425</v>
      </c>
      <c r="C64" s="5" t="n">
        <v>2024</v>
      </c>
      <c r="D64" s="5" t="s">
        <v>45</v>
      </c>
      <c r="E64" s="5" t="s">
        <v>57</v>
      </c>
      <c r="F64" s="5" t="s">
        <v>35</v>
      </c>
    </row>
    <row r="65" customFormat="false" ht="15" hidden="false" customHeight="false" outlineLevel="0" collapsed="false">
      <c r="A65" s="5" t="s">
        <v>79</v>
      </c>
      <c r="B65" s="6" t="n">
        <v>45425</v>
      </c>
      <c r="C65" s="5" t="n">
        <v>2024</v>
      </c>
      <c r="D65" s="5" t="s">
        <v>33</v>
      </c>
      <c r="E65" s="5" t="s">
        <v>57</v>
      </c>
      <c r="F65" s="5" t="s">
        <v>37</v>
      </c>
    </row>
    <row r="66" customFormat="false" ht="15" hidden="false" customHeight="false" outlineLevel="0" collapsed="false">
      <c r="A66" s="5" t="s">
        <v>80</v>
      </c>
      <c r="B66" s="6" t="n">
        <v>45426</v>
      </c>
      <c r="C66" s="5" t="n">
        <v>2024</v>
      </c>
      <c r="D66" s="5" t="s">
        <v>39</v>
      </c>
      <c r="E66" s="5" t="s">
        <v>57</v>
      </c>
      <c r="F66" s="5" t="s">
        <v>35</v>
      </c>
    </row>
    <row r="67" customFormat="false" ht="15" hidden="false" customHeight="false" outlineLevel="0" collapsed="false">
      <c r="A67" s="5" t="s">
        <v>80</v>
      </c>
      <c r="B67" s="6" t="n">
        <v>45426</v>
      </c>
      <c r="C67" s="5" t="n">
        <v>2024</v>
      </c>
      <c r="D67" s="5" t="s">
        <v>33</v>
      </c>
      <c r="E67" s="5" t="s">
        <v>57</v>
      </c>
      <c r="F67" s="5" t="s">
        <v>37</v>
      </c>
    </row>
    <row r="68" customFormat="false" ht="15" hidden="false" customHeight="false" outlineLevel="0" collapsed="false">
      <c r="A68" s="5" t="s">
        <v>81</v>
      </c>
      <c r="B68" s="6" t="n">
        <v>45427</v>
      </c>
      <c r="C68" s="5" t="n">
        <v>2024</v>
      </c>
      <c r="D68" s="5" t="s">
        <v>41</v>
      </c>
      <c r="E68" s="5" t="s">
        <v>43</v>
      </c>
      <c r="F68" s="5" t="s">
        <v>37</v>
      </c>
    </row>
    <row r="69" customFormat="false" ht="15" hidden="false" customHeight="false" outlineLevel="0" collapsed="false">
      <c r="A69" s="5" t="s">
        <v>81</v>
      </c>
      <c r="B69" s="6" t="n">
        <v>45427</v>
      </c>
      <c r="C69" s="5" t="n">
        <v>2024</v>
      </c>
      <c r="D69" s="5" t="s">
        <v>68</v>
      </c>
      <c r="E69" s="5" t="s">
        <v>43</v>
      </c>
      <c r="F69" s="5" t="s">
        <v>35</v>
      </c>
    </row>
    <row r="70" customFormat="false" ht="15" hidden="false" customHeight="false" outlineLevel="0" collapsed="false">
      <c r="A70" s="5" t="s">
        <v>82</v>
      </c>
      <c r="B70" s="6" t="n">
        <v>45432</v>
      </c>
      <c r="C70" s="5" t="n">
        <v>2024</v>
      </c>
      <c r="D70" s="5" t="s">
        <v>53</v>
      </c>
      <c r="E70" s="5" t="s">
        <v>34</v>
      </c>
      <c r="F70" s="5" t="s">
        <v>35</v>
      </c>
    </row>
    <row r="71" customFormat="false" ht="15" hidden="false" customHeight="false" outlineLevel="0" collapsed="false">
      <c r="A71" s="5" t="s">
        <v>82</v>
      </c>
      <c r="B71" s="6" t="n">
        <v>45432</v>
      </c>
      <c r="C71" s="5" t="n">
        <v>2024</v>
      </c>
      <c r="D71" s="5" t="s">
        <v>33</v>
      </c>
      <c r="E71" s="5" t="s">
        <v>34</v>
      </c>
      <c r="F71" s="5" t="s">
        <v>37</v>
      </c>
    </row>
    <row r="72" customFormat="false" ht="15" hidden="false" customHeight="false" outlineLevel="0" collapsed="false">
      <c r="A72" s="5" t="s">
        <v>83</v>
      </c>
      <c r="B72" s="6" t="n">
        <v>45433</v>
      </c>
      <c r="C72" s="5" t="n">
        <v>2024</v>
      </c>
      <c r="D72" s="5" t="s">
        <v>33</v>
      </c>
      <c r="E72" s="5" t="s">
        <v>51</v>
      </c>
      <c r="F72" s="5" t="s">
        <v>35</v>
      </c>
    </row>
    <row r="73" customFormat="false" ht="15" hidden="false" customHeight="false" outlineLevel="0" collapsed="false">
      <c r="A73" s="5" t="s">
        <v>83</v>
      </c>
      <c r="B73" s="6" t="n">
        <v>45433</v>
      </c>
      <c r="C73" s="5" t="n">
        <v>2024</v>
      </c>
      <c r="D73" s="5" t="s">
        <v>36</v>
      </c>
      <c r="E73" s="5" t="s">
        <v>51</v>
      </c>
      <c r="F73" s="5" t="s">
        <v>37</v>
      </c>
    </row>
    <row r="74" customFormat="false" ht="15" hidden="false" customHeight="false" outlineLevel="0" collapsed="false">
      <c r="A74" s="5" t="s">
        <v>84</v>
      </c>
      <c r="B74" s="6" t="n">
        <v>45435</v>
      </c>
      <c r="C74" s="5" t="n">
        <v>2024</v>
      </c>
      <c r="D74" s="5" t="s">
        <v>41</v>
      </c>
      <c r="E74" s="5" t="s">
        <v>48</v>
      </c>
      <c r="F74" s="5" t="s">
        <v>35</v>
      </c>
    </row>
    <row r="75" customFormat="false" ht="15" hidden="false" customHeight="false" outlineLevel="0" collapsed="false">
      <c r="A75" s="5" t="s">
        <v>84</v>
      </c>
      <c r="B75" s="6" t="n">
        <v>45435</v>
      </c>
      <c r="C75" s="5" t="n">
        <v>2024</v>
      </c>
      <c r="D75" s="5" t="s">
        <v>33</v>
      </c>
      <c r="E75" s="5" t="s">
        <v>48</v>
      </c>
      <c r="F75" s="5" t="s">
        <v>37</v>
      </c>
    </row>
    <row r="76" customFormat="false" ht="15" hidden="false" customHeight="false" outlineLevel="0" collapsed="false">
      <c r="A76" s="5" t="s">
        <v>85</v>
      </c>
      <c r="B76" s="6" t="n">
        <v>45436</v>
      </c>
      <c r="C76" s="5" t="n">
        <v>2024</v>
      </c>
      <c r="D76" s="5" t="s">
        <v>41</v>
      </c>
      <c r="E76" s="5" t="s">
        <v>57</v>
      </c>
      <c r="F76" s="5" t="s">
        <v>35</v>
      </c>
    </row>
    <row r="77" customFormat="false" ht="15" hidden="false" customHeight="false" outlineLevel="0" collapsed="false">
      <c r="A77" s="5" t="s">
        <v>85</v>
      </c>
      <c r="B77" s="6" t="n">
        <v>45436</v>
      </c>
      <c r="C77" s="5" t="n">
        <v>2024</v>
      </c>
      <c r="D77" s="5" t="s">
        <v>68</v>
      </c>
      <c r="E77" s="5" t="s">
        <v>57</v>
      </c>
      <c r="F77" s="5" t="s">
        <v>37</v>
      </c>
    </row>
    <row r="78" customFormat="false" ht="15" hidden="false" customHeight="false" outlineLevel="0" collapsed="false">
      <c r="A78" s="5" t="s">
        <v>86</v>
      </c>
      <c r="B78" s="6" t="n">
        <v>45436</v>
      </c>
      <c r="C78" s="5" t="n">
        <v>2024</v>
      </c>
      <c r="D78" s="5" t="s">
        <v>45</v>
      </c>
      <c r="E78" s="5" t="s">
        <v>34</v>
      </c>
      <c r="F78" s="5" t="s">
        <v>35</v>
      </c>
    </row>
    <row r="79" customFormat="false" ht="15" hidden="false" customHeight="false" outlineLevel="0" collapsed="false">
      <c r="A79" s="5" t="s">
        <v>86</v>
      </c>
      <c r="B79" s="6" t="n">
        <v>45436</v>
      </c>
      <c r="C79" s="5" t="n">
        <v>2024</v>
      </c>
      <c r="D79" s="5" t="s">
        <v>50</v>
      </c>
      <c r="E79" s="5" t="s">
        <v>34</v>
      </c>
      <c r="F79" s="5" t="s">
        <v>37</v>
      </c>
    </row>
    <row r="80" customFormat="false" ht="15" hidden="false" customHeight="false" outlineLevel="0" collapsed="false">
      <c r="A80" s="5" t="s">
        <v>87</v>
      </c>
      <c r="B80" s="6" t="n">
        <v>45437</v>
      </c>
      <c r="C80" s="5" t="n">
        <v>2024</v>
      </c>
      <c r="D80" s="5" t="s">
        <v>53</v>
      </c>
      <c r="E80" s="5" t="s">
        <v>57</v>
      </c>
      <c r="F80" s="5" t="s">
        <v>37</v>
      </c>
    </row>
    <row r="81" customFormat="false" ht="15" hidden="false" customHeight="false" outlineLevel="0" collapsed="false">
      <c r="A81" s="5" t="s">
        <v>87</v>
      </c>
      <c r="B81" s="6" t="n">
        <v>45437</v>
      </c>
      <c r="C81" s="5" t="n">
        <v>2024</v>
      </c>
      <c r="D81" s="5" t="s">
        <v>68</v>
      </c>
      <c r="E81" s="5" t="s">
        <v>57</v>
      </c>
      <c r="F81" s="5" t="s">
        <v>35</v>
      </c>
    </row>
    <row r="82" customFormat="false" ht="15" hidden="false" customHeight="false" outlineLevel="0" collapsed="false">
      <c r="A82" s="5" t="s">
        <v>88</v>
      </c>
      <c r="B82" s="6" t="n">
        <v>45738</v>
      </c>
      <c r="C82" s="5" t="n">
        <v>2025</v>
      </c>
      <c r="D82" s="5" t="s">
        <v>36</v>
      </c>
      <c r="E82" s="5" t="s">
        <v>48</v>
      </c>
      <c r="F82" s="5" t="s">
        <v>35</v>
      </c>
    </row>
    <row r="83" customFormat="false" ht="15" hidden="false" customHeight="false" outlineLevel="0" collapsed="false">
      <c r="A83" s="5" t="s">
        <v>88</v>
      </c>
      <c r="B83" s="6" t="n">
        <v>45738</v>
      </c>
      <c r="C83" s="5" t="n">
        <v>2025</v>
      </c>
      <c r="D83" s="5" t="s">
        <v>50</v>
      </c>
      <c r="E83" s="5" t="s">
        <v>48</v>
      </c>
      <c r="F83" s="5" t="s">
        <v>37</v>
      </c>
    </row>
    <row r="84" customFormat="false" ht="15" hidden="false" customHeight="false" outlineLevel="0" collapsed="false">
      <c r="A84" s="5" t="s">
        <v>89</v>
      </c>
      <c r="B84" s="6" t="n">
        <v>45743</v>
      </c>
      <c r="C84" s="5" t="n">
        <v>2025</v>
      </c>
      <c r="D84" s="5" t="s">
        <v>41</v>
      </c>
      <c r="E84" s="5" t="s">
        <v>48</v>
      </c>
      <c r="F84" s="5" t="s">
        <v>35</v>
      </c>
    </row>
    <row r="85" customFormat="false" ht="15" hidden="false" customHeight="false" outlineLevel="0" collapsed="false">
      <c r="A85" s="5" t="s">
        <v>89</v>
      </c>
      <c r="B85" s="6" t="n">
        <v>45743</v>
      </c>
      <c r="C85" s="5" t="n">
        <v>2025</v>
      </c>
      <c r="D85" s="5" t="s">
        <v>50</v>
      </c>
      <c r="E85" s="5" t="s">
        <v>48</v>
      </c>
      <c r="F85" s="5" t="s">
        <v>37</v>
      </c>
    </row>
    <row r="86" customFormat="false" ht="15" hidden="false" customHeight="false" outlineLevel="0" collapsed="false">
      <c r="A86" s="5" t="s">
        <v>90</v>
      </c>
      <c r="B86" s="6" t="n">
        <v>45745</v>
      </c>
      <c r="C86" s="5" t="n">
        <v>2025</v>
      </c>
      <c r="D86" s="5" t="s">
        <v>33</v>
      </c>
      <c r="E86" s="5" t="s">
        <v>43</v>
      </c>
      <c r="F86" s="5" t="s">
        <v>37</v>
      </c>
    </row>
    <row r="87" customFormat="false" ht="15" hidden="false" customHeight="false" outlineLevel="0" collapsed="false">
      <c r="A87" s="5" t="s">
        <v>90</v>
      </c>
      <c r="B87" s="6" t="n">
        <v>45745</v>
      </c>
      <c r="C87" s="5" t="n">
        <v>2025</v>
      </c>
      <c r="D87" s="5" t="s">
        <v>45</v>
      </c>
      <c r="E87" s="5" t="s">
        <v>43</v>
      </c>
      <c r="F87" s="5" t="s">
        <v>35</v>
      </c>
    </row>
    <row r="88" customFormat="false" ht="15" hidden="false" customHeight="false" outlineLevel="0" collapsed="false">
      <c r="A88" s="5" t="s">
        <v>91</v>
      </c>
      <c r="B88" s="6" t="n">
        <v>45746</v>
      </c>
      <c r="C88" s="5" t="n">
        <v>2025</v>
      </c>
      <c r="D88" s="5" t="s">
        <v>45</v>
      </c>
      <c r="E88" s="5" t="s">
        <v>48</v>
      </c>
      <c r="F88" s="5" t="s">
        <v>35</v>
      </c>
    </row>
    <row r="89" customFormat="false" ht="15" hidden="false" customHeight="false" outlineLevel="0" collapsed="false">
      <c r="A89" s="5" t="s">
        <v>91</v>
      </c>
      <c r="B89" s="6" t="n">
        <v>45746</v>
      </c>
      <c r="C89" s="5" t="n">
        <v>2025</v>
      </c>
      <c r="D89" s="5" t="s">
        <v>41</v>
      </c>
      <c r="E89" s="5" t="s">
        <v>48</v>
      </c>
      <c r="F89" s="5" t="s">
        <v>37</v>
      </c>
    </row>
    <row r="90" customFormat="false" ht="15" hidden="false" customHeight="false" outlineLevel="0" collapsed="false">
      <c r="A90" s="5" t="s">
        <v>92</v>
      </c>
      <c r="B90" s="6" t="n">
        <v>45747</v>
      </c>
      <c r="C90" s="5" t="n">
        <v>2025</v>
      </c>
      <c r="D90" s="5" t="s">
        <v>36</v>
      </c>
      <c r="E90" s="5" t="s">
        <v>48</v>
      </c>
      <c r="F90" s="5" t="s">
        <v>35</v>
      </c>
    </row>
    <row r="91" customFormat="false" ht="15" hidden="false" customHeight="false" outlineLevel="0" collapsed="false">
      <c r="A91" s="5" t="s">
        <v>92</v>
      </c>
      <c r="B91" s="6" t="n">
        <v>45747</v>
      </c>
      <c r="C91" s="5" t="n">
        <v>2025</v>
      </c>
      <c r="D91" s="5" t="s">
        <v>33</v>
      </c>
      <c r="E91" s="5" t="s">
        <v>48</v>
      </c>
      <c r="F91" s="5" t="s">
        <v>37</v>
      </c>
    </row>
    <row r="92" customFormat="false" ht="15" hidden="false" customHeight="false" outlineLevel="0" collapsed="false">
      <c r="A92" s="5" t="s">
        <v>93</v>
      </c>
      <c r="B92" s="6" t="n">
        <v>45747</v>
      </c>
      <c r="C92" s="5" t="n">
        <v>2025</v>
      </c>
      <c r="D92" s="5" t="s">
        <v>41</v>
      </c>
      <c r="E92" s="5" t="s">
        <v>51</v>
      </c>
      <c r="F92" s="5" t="s">
        <v>37</v>
      </c>
    </row>
    <row r="93" customFormat="false" ht="15" hidden="false" customHeight="false" outlineLevel="0" collapsed="false">
      <c r="A93" s="5" t="s">
        <v>93</v>
      </c>
      <c r="B93" s="6" t="n">
        <v>45747</v>
      </c>
      <c r="C93" s="5" t="n">
        <v>2025</v>
      </c>
      <c r="D93" s="5" t="s">
        <v>53</v>
      </c>
      <c r="E93" s="5" t="s">
        <v>51</v>
      </c>
      <c r="F93" s="5" t="s">
        <v>35</v>
      </c>
    </row>
    <row r="94" customFormat="false" ht="15" hidden="false" customHeight="false" outlineLevel="0" collapsed="false">
      <c r="A94" s="5" t="s">
        <v>94</v>
      </c>
      <c r="B94" s="6" t="n">
        <v>45750</v>
      </c>
      <c r="C94" s="5" t="n">
        <v>2025</v>
      </c>
      <c r="D94" s="5" t="s">
        <v>50</v>
      </c>
      <c r="E94" s="5" t="s">
        <v>51</v>
      </c>
      <c r="F94" s="5" t="s">
        <v>37</v>
      </c>
    </row>
    <row r="95" customFormat="false" ht="15" hidden="false" customHeight="false" outlineLevel="0" collapsed="false">
      <c r="A95" s="5" t="s">
        <v>94</v>
      </c>
      <c r="B95" s="6" t="n">
        <v>45750</v>
      </c>
      <c r="C95" s="5" t="n">
        <v>2025</v>
      </c>
      <c r="D95" s="5" t="s">
        <v>68</v>
      </c>
      <c r="E95" s="5" t="s">
        <v>51</v>
      </c>
      <c r="F95" s="5" t="s">
        <v>35</v>
      </c>
    </row>
    <row r="96" customFormat="false" ht="15" hidden="false" customHeight="false" outlineLevel="0" collapsed="false">
      <c r="A96" s="5" t="s">
        <v>95</v>
      </c>
      <c r="B96" s="6" t="n">
        <v>45756</v>
      </c>
      <c r="C96" s="5" t="n">
        <v>2025</v>
      </c>
      <c r="D96" s="5" t="s">
        <v>68</v>
      </c>
      <c r="E96" s="5" t="s">
        <v>34</v>
      </c>
      <c r="F96" s="5" t="s">
        <v>37</v>
      </c>
    </row>
    <row r="97" customFormat="false" ht="15" hidden="false" customHeight="false" outlineLevel="0" collapsed="false">
      <c r="A97" s="5" t="s">
        <v>95</v>
      </c>
      <c r="B97" s="6" t="n">
        <v>45756</v>
      </c>
      <c r="C97" s="5" t="n">
        <v>2025</v>
      </c>
      <c r="D97" s="5" t="s">
        <v>33</v>
      </c>
      <c r="E97" s="5" t="s">
        <v>34</v>
      </c>
      <c r="F97" s="5" t="s">
        <v>35</v>
      </c>
    </row>
    <row r="98" customFormat="false" ht="15" hidden="false" customHeight="false" outlineLevel="0" collapsed="false">
      <c r="A98" s="5" t="s">
        <v>96</v>
      </c>
      <c r="B98" s="6" t="n">
        <v>45756</v>
      </c>
      <c r="C98" s="5" t="n">
        <v>2025</v>
      </c>
      <c r="D98" s="5" t="s">
        <v>53</v>
      </c>
      <c r="E98" s="5" t="s">
        <v>34</v>
      </c>
      <c r="F98" s="5" t="s">
        <v>37</v>
      </c>
    </row>
    <row r="99" customFormat="false" ht="15" hidden="false" customHeight="false" outlineLevel="0" collapsed="false">
      <c r="A99" s="5" t="s">
        <v>96</v>
      </c>
      <c r="B99" s="6" t="n">
        <v>45756</v>
      </c>
      <c r="C99" s="5" t="n">
        <v>2025</v>
      </c>
      <c r="D99" s="5" t="s">
        <v>68</v>
      </c>
      <c r="E99" s="5" t="s">
        <v>34</v>
      </c>
      <c r="F99" s="5" t="s">
        <v>35</v>
      </c>
    </row>
    <row r="100" customFormat="false" ht="15" hidden="false" customHeight="false" outlineLevel="0" collapsed="false">
      <c r="A100" s="5" t="s">
        <v>97</v>
      </c>
      <c r="B100" s="6" t="n">
        <v>45759</v>
      </c>
      <c r="C100" s="5" t="n">
        <v>2025</v>
      </c>
      <c r="D100" s="5" t="s">
        <v>50</v>
      </c>
      <c r="E100" s="5" t="s">
        <v>57</v>
      </c>
      <c r="F100" s="5" t="s">
        <v>35</v>
      </c>
    </row>
    <row r="101" customFormat="false" ht="15" hidden="false" customHeight="false" outlineLevel="0" collapsed="false">
      <c r="A101" s="5" t="s">
        <v>97</v>
      </c>
      <c r="B101" s="6" t="n">
        <v>45759</v>
      </c>
      <c r="C101" s="5" t="n">
        <v>2025</v>
      </c>
      <c r="D101" s="5" t="s">
        <v>53</v>
      </c>
      <c r="E101" s="5" t="s">
        <v>57</v>
      </c>
      <c r="F101" s="5" t="s">
        <v>37</v>
      </c>
    </row>
    <row r="102" customFormat="false" ht="15" hidden="false" customHeight="false" outlineLevel="0" collapsed="false">
      <c r="A102" s="5" t="s">
        <v>98</v>
      </c>
      <c r="B102" s="6" t="n">
        <v>45760</v>
      </c>
      <c r="C102" s="5" t="n">
        <v>2025</v>
      </c>
      <c r="D102" s="5" t="s">
        <v>68</v>
      </c>
      <c r="E102" s="5" t="s">
        <v>57</v>
      </c>
      <c r="F102" s="5" t="s">
        <v>35</v>
      </c>
    </row>
    <row r="103" customFormat="false" ht="15" hidden="false" customHeight="false" outlineLevel="0" collapsed="false">
      <c r="A103" s="5" t="s">
        <v>98</v>
      </c>
      <c r="B103" s="6" t="n">
        <v>45760</v>
      </c>
      <c r="C103" s="5" t="n">
        <v>2025</v>
      </c>
      <c r="D103" s="5" t="s">
        <v>41</v>
      </c>
      <c r="E103" s="5" t="s">
        <v>57</v>
      </c>
      <c r="F103" s="5" t="s">
        <v>37</v>
      </c>
    </row>
    <row r="104" customFormat="false" ht="15" hidden="false" customHeight="false" outlineLevel="0" collapsed="false">
      <c r="A104" s="5" t="s">
        <v>99</v>
      </c>
      <c r="B104" s="6" t="n">
        <v>45762</v>
      </c>
      <c r="C104" s="5" t="n">
        <v>2025</v>
      </c>
      <c r="D104" s="5" t="s">
        <v>41</v>
      </c>
      <c r="E104" s="5" t="s">
        <v>40</v>
      </c>
      <c r="F104" s="5" t="s">
        <v>35</v>
      </c>
    </row>
    <row r="105" customFormat="false" ht="15" hidden="false" customHeight="false" outlineLevel="0" collapsed="false">
      <c r="A105" s="5" t="s">
        <v>99</v>
      </c>
      <c r="B105" s="6" t="n">
        <v>45762</v>
      </c>
      <c r="C105" s="5" t="n">
        <v>2025</v>
      </c>
      <c r="D105" s="5" t="s">
        <v>39</v>
      </c>
      <c r="E105" s="5" t="s">
        <v>40</v>
      </c>
      <c r="F105" s="5" t="s">
        <v>37</v>
      </c>
    </row>
    <row r="106" customFormat="false" ht="15" hidden="false" customHeight="false" outlineLevel="0" collapsed="false">
      <c r="A106" s="5" t="s">
        <v>100</v>
      </c>
      <c r="B106" s="6" t="n">
        <v>45762</v>
      </c>
      <c r="C106" s="5" t="n">
        <v>2025</v>
      </c>
      <c r="D106" s="5" t="s">
        <v>68</v>
      </c>
      <c r="E106" s="5" t="s">
        <v>48</v>
      </c>
      <c r="F106" s="5" t="s">
        <v>35</v>
      </c>
    </row>
    <row r="107" customFormat="false" ht="15" hidden="false" customHeight="false" outlineLevel="0" collapsed="false">
      <c r="A107" s="5" t="s">
        <v>100</v>
      </c>
      <c r="B107" s="6" t="n">
        <v>45762</v>
      </c>
      <c r="C107" s="5" t="n">
        <v>2025</v>
      </c>
      <c r="D107" s="5" t="s">
        <v>53</v>
      </c>
      <c r="E107" s="5" t="s">
        <v>48</v>
      </c>
      <c r="F107" s="5" t="s">
        <v>37</v>
      </c>
    </row>
    <row r="108" customFormat="false" ht="15" hidden="false" customHeight="false" outlineLevel="0" collapsed="false">
      <c r="A108" s="5" t="s">
        <v>101</v>
      </c>
      <c r="B108" s="6" t="n">
        <v>45767</v>
      </c>
      <c r="C108" s="5" t="n">
        <v>2025</v>
      </c>
      <c r="D108" s="5" t="s">
        <v>39</v>
      </c>
      <c r="E108" s="5" t="s">
        <v>40</v>
      </c>
      <c r="F108" s="5" t="s">
        <v>37</v>
      </c>
    </row>
    <row r="109" customFormat="false" ht="15" hidden="false" customHeight="false" outlineLevel="0" collapsed="false">
      <c r="A109" s="5" t="s">
        <v>101</v>
      </c>
      <c r="B109" s="6" t="n">
        <v>45767</v>
      </c>
      <c r="C109" s="5" t="n">
        <v>2025</v>
      </c>
      <c r="D109" s="5" t="s">
        <v>36</v>
      </c>
      <c r="E109" s="5" t="s">
        <v>40</v>
      </c>
      <c r="F109" s="5" t="s">
        <v>35</v>
      </c>
    </row>
    <row r="110" customFormat="false" ht="15" hidden="false" customHeight="false" outlineLevel="0" collapsed="false">
      <c r="A110" s="5" t="s">
        <v>102</v>
      </c>
      <c r="B110" s="6" t="n">
        <v>45769</v>
      </c>
      <c r="C110" s="5" t="n">
        <v>2025</v>
      </c>
      <c r="D110" s="5" t="s">
        <v>36</v>
      </c>
      <c r="E110" s="5" t="s">
        <v>40</v>
      </c>
      <c r="F110" s="5" t="s">
        <v>37</v>
      </c>
    </row>
    <row r="111" customFormat="false" ht="15" hidden="false" customHeight="false" outlineLevel="0" collapsed="false">
      <c r="A111" s="5" t="s">
        <v>102</v>
      </c>
      <c r="B111" s="6" t="n">
        <v>45769</v>
      </c>
      <c r="C111" s="5" t="n">
        <v>2025</v>
      </c>
      <c r="D111" s="5" t="s">
        <v>53</v>
      </c>
      <c r="E111" s="5" t="s">
        <v>40</v>
      </c>
      <c r="F111" s="5" t="s">
        <v>35</v>
      </c>
    </row>
    <row r="112" customFormat="false" ht="15" hidden="false" customHeight="false" outlineLevel="0" collapsed="false">
      <c r="A112" s="5" t="s">
        <v>103</v>
      </c>
      <c r="B112" s="6" t="n">
        <v>45772</v>
      </c>
      <c r="C112" s="5" t="n">
        <v>2025</v>
      </c>
      <c r="D112" s="5" t="s">
        <v>33</v>
      </c>
      <c r="E112" s="5" t="s">
        <v>40</v>
      </c>
      <c r="F112" s="5" t="s">
        <v>35</v>
      </c>
    </row>
    <row r="113" customFormat="false" ht="15" hidden="false" customHeight="false" outlineLevel="0" collapsed="false">
      <c r="A113" s="5" t="s">
        <v>103</v>
      </c>
      <c r="B113" s="6" t="n">
        <v>45772</v>
      </c>
      <c r="C113" s="5" t="n">
        <v>2025</v>
      </c>
      <c r="D113" s="5" t="s">
        <v>39</v>
      </c>
      <c r="E113" s="5" t="s">
        <v>40</v>
      </c>
      <c r="F113" s="5" t="s">
        <v>37</v>
      </c>
    </row>
    <row r="114" customFormat="false" ht="15" hidden="false" customHeight="false" outlineLevel="0" collapsed="false">
      <c r="A114" s="5" t="s">
        <v>104</v>
      </c>
      <c r="B114" s="6" t="n">
        <v>45775</v>
      </c>
      <c r="C114" s="5" t="n">
        <v>2025</v>
      </c>
      <c r="D114" s="5" t="s">
        <v>68</v>
      </c>
      <c r="E114" s="5" t="s">
        <v>51</v>
      </c>
      <c r="F114" s="5" t="s">
        <v>37</v>
      </c>
    </row>
    <row r="115" customFormat="false" ht="15" hidden="false" customHeight="false" outlineLevel="0" collapsed="false">
      <c r="A115" s="5" t="s">
        <v>104</v>
      </c>
      <c r="B115" s="6" t="n">
        <v>45775</v>
      </c>
      <c r="C115" s="5" t="n">
        <v>2025</v>
      </c>
      <c r="D115" s="5" t="s">
        <v>41</v>
      </c>
      <c r="E115" s="5" t="s">
        <v>51</v>
      </c>
      <c r="F115" s="5" t="s">
        <v>35</v>
      </c>
    </row>
    <row r="116" customFormat="false" ht="15" hidden="false" customHeight="false" outlineLevel="0" collapsed="false">
      <c r="A116" s="5" t="s">
        <v>105</v>
      </c>
      <c r="B116" s="6" t="n">
        <v>45776</v>
      </c>
      <c r="C116" s="5" t="n">
        <v>2025</v>
      </c>
      <c r="D116" s="5" t="s">
        <v>45</v>
      </c>
      <c r="E116" s="5" t="s">
        <v>51</v>
      </c>
      <c r="F116" s="5" t="s">
        <v>37</v>
      </c>
    </row>
    <row r="117" customFormat="false" ht="15" hidden="false" customHeight="false" outlineLevel="0" collapsed="false">
      <c r="A117" s="5" t="s">
        <v>105</v>
      </c>
      <c r="B117" s="6" t="n">
        <v>45776</v>
      </c>
      <c r="C117" s="5" t="n">
        <v>2025</v>
      </c>
      <c r="D117" s="5" t="s">
        <v>68</v>
      </c>
      <c r="E117" s="5" t="s">
        <v>51</v>
      </c>
      <c r="F117" s="5" t="s">
        <v>35</v>
      </c>
    </row>
    <row r="118" customFormat="false" ht="15" hidden="false" customHeight="false" outlineLevel="0" collapsed="false">
      <c r="A118" s="5" t="s">
        <v>106</v>
      </c>
      <c r="B118" s="6" t="n">
        <v>45776</v>
      </c>
      <c r="C118" s="5" t="n">
        <v>2025</v>
      </c>
      <c r="D118" s="5" t="s">
        <v>41</v>
      </c>
      <c r="E118" s="5" t="s">
        <v>57</v>
      </c>
      <c r="F118" s="5" t="s">
        <v>37</v>
      </c>
    </row>
    <row r="119" customFormat="false" ht="15" hidden="false" customHeight="false" outlineLevel="0" collapsed="false">
      <c r="A119" s="5" t="s">
        <v>106</v>
      </c>
      <c r="B119" s="6" t="n">
        <v>45776</v>
      </c>
      <c r="C119" s="5" t="n">
        <v>2025</v>
      </c>
      <c r="D119" s="5" t="s">
        <v>39</v>
      </c>
      <c r="E119" s="5" t="s">
        <v>57</v>
      </c>
      <c r="F119" s="5" t="s">
        <v>35</v>
      </c>
    </row>
    <row r="120" customFormat="false" ht="15" hidden="false" customHeight="false" outlineLevel="0" collapsed="false">
      <c r="A120" s="5" t="s">
        <v>107</v>
      </c>
      <c r="B120" s="6" t="n">
        <v>45777</v>
      </c>
      <c r="C120" s="5" t="n">
        <v>2025</v>
      </c>
      <c r="D120" s="5" t="s">
        <v>41</v>
      </c>
      <c r="E120" s="5" t="s">
        <v>40</v>
      </c>
      <c r="F120" s="5" t="s">
        <v>37</v>
      </c>
    </row>
    <row r="121" customFormat="false" ht="15" hidden="false" customHeight="false" outlineLevel="0" collapsed="false">
      <c r="A121" s="5" t="s">
        <v>107</v>
      </c>
      <c r="B121" s="6" t="n">
        <v>45777</v>
      </c>
      <c r="C121" s="5" t="n">
        <v>2025</v>
      </c>
      <c r="D121" s="5" t="s">
        <v>68</v>
      </c>
      <c r="E121" s="5" t="s">
        <v>40</v>
      </c>
      <c r="F121" s="5" t="s">
        <v>35</v>
      </c>
    </row>
    <row r="122" customFormat="false" ht="15" hidden="false" customHeight="false" outlineLevel="0" collapsed="false">
      <c r="A122" s="5" t="s">
        <v>108</v>
      </c>
      <c r="B122" s="6" t="n">
        <v>45779</v>
      </c>
      <c r="C122" s="5" t="n">
        <v>2025</v>
      </c>
      <c r="D122" s="5" t="s">
        <v>33</v>
      </c>
      <c r="E122" s="5" t="s">
        <v>48</v>
      </c>
      <c r="F122" s="5" t="s">
        <v>35</v>
      </c>
    </row>
    <row r="123" customFormat="false" ht="15" hidden="false" customHeight="false" outlineLevel="0" collapsed="false">
      <c r="A123" s="5" t="s">
        <v>108</v>
      </c>
      <c r="B123" s="6" t="n">
        <v>45779</v>
      </c>
      <c r="C123" s="5" t="n">
        <v>2025</v>
      </c>
      <c r="D123" s="5" t="s">
        <v>53</v>
      </c>
      <c r="E123" s="5" t="s">
        <v>48</v>
      </c>
      <c r="F123" s="5" t="s">
        <v>37</v>
      </c>
    </row>
    <row r="124" customFormat="false" ht="15" hidden="false" customHeight="false" outlineLevel="0" collapsed="false">
      <c r="A124" s="5" t="s">
        <v>109</v>
      </c>
      <c r="B124" s="6" t="n">
        <v>45779</v>
      </c>
      <c r="C124" s="5" t="n">
        <v>2025</v>
      </c>
      <c r="D124" s="5" t="s">
        <v>36</v>
      </c>
      <c r="E124" s="5" t="s">
        <v>43</v>
      </c>
      <c r="F124" s="5" t="s">
        <v>35</v>
      </c>
    </row>
    <row r="125" customFormat="false" ht="15" hidden="false" customHeight="false" outlineLevel="0" collapsed="false">
      <c r="A125" s="5" t="s">
        <v>109</v>
      </c>
      <c r="B125" s="6" t="n">
        <v>45779</v>
      </c>
      <c r="C125" s="5" t="n">
        <v>2025</v>
      </c>
      <c r="D125" s="5" t="s">
        <v>33</v>
      </c>
      <c r="E125" s="5" t="s">
        <v>43</v>
      </c>
      <c r="F125" s="5" t="s">
        <v>37</v>
      </c>
    </row>
    <row r="126" customFormat="false" ht="15" hidden="false" customHeight="false" outlineLevel="0" collapsed="false">
      <c r="A126" s="5" t="s">
        <v>110</v>
      </c>
      <c r="B126" s="6" t="n">
        <v>45781</v>
      </c>
      <c r="C126" s="5" t="n">
        <v>2025</v>
      </c>
      <c r="D126" s="5" t="s">
        <v>50</v>
      </c>
      <c r="E126" s="5" t="s">
        <v>48</v>
      </c>
      <c r="F126" s="5" t="s">
        <v>35</v>
      </c>
    </row>
    <row r="127" customFormat="false" ht="15" hidden="false" customHeight="false" outlineLevel="0" collapsed="false">
      <c r="A127" s="5" t="s">
        <v>110</v>
      </c>
      <c r="B127" s="6" t="n">
        <v>45781</v>
      </c>
      <c r="C127" s="5" t="n">
        <v>2025</v>
      </c>
      <c r="D127" s="5" t="s">
        <v>33</v>
      </c>
      <c r="E127" s="5" t="s">
        <v>48</v>
      </c>
      <c r="F127" s="5" t="s">
        <v>37</v>
      </c>
    </row>
    <row r="128" customFormat="false" ht="15" hidden="false" customHeight="false" outlineLevel="0" collapsed="false">
      <c r="A128" s="5" t="s">
        <v>111</v>
      </c>
      <c r="B128" s="6" t="n">
        <v>45785</v>
      </c>
      <c r="C128" s="5" t="n">
        <v>2025</v>
      </c>
      <c r="D128" s="5" t="s">
        <v>33</v>
      </c>
      <c r="E128" s="5" t="s">
        <v>34</v>
      </c>
      <c r="F128" s="5" t="s">
        <v>35</v>
      </c>
    </row>
    <row r="129" customFormat="false" ht="15" hidden="false" customHeight="false" outlineLevel="0" collapsed="false">
      <c r="A129" s="5" t="s">
        <v>111</v>
      </c>
      <c r="B129" s="6" t="n">
        <v>45785</v>
      </c>
      <c r="C129" s="5" t="n">
        <v>2025</v>
      </c>
      <c r="D129" s="5" t="s">
        <v>50</v>
      </c>
      <c r="E129" s="5" t="s">
        <v>34</v>
      </c>
      <c r="F129" s="5" t="s">
        <v>37</v>
      </c>
    </row>
    <row r="130" customFormat="false" ht="15" hidden="false" customHeight="false" outlineLevel="0" collapsed="false">
      <c r="A130" s="5" t="s">
        <v>112</v>
      </c>
      <c r="B130" s="6" t="n">
        <v>45786</v>
      </c>
      <c r="C130" s="5" t="n">
        <v>2025</v>
      </c>
      <c r="D130" s="5" t="s">
        <v>68</v>
      </c>
      <c r="E130" s="5" t="s">
        <v>48</v>
      </c>
      <c r="F130" s="5" t="s">
        <v>37</v>
      </c>
    </row>
    <row r="131" customFormat="false" ht="15" hidden="false" customHeight="false" outlineLevel="0" collapsed="false">
      <c r="A131" s="5" t="s">
        <v>112</v>
      </c>
      <c r="B131" s="6" t="n">
        <v>45786</v>
      </c>
      <c r="C131" s="5" t="n">
        <v>2025</v>
      </c>
      <c r="D131" s="5" t="s">
        <v>41</v>
      </c>
      <c r="E131" s="5" t="s">
        <v>48</v>
      </c>
      <c r="F131" s="5" t="s">
        <v>35</v>
      </c>
    </row>
    <row r="132" customFormat="false" ht="15" hidden="false" customHeight="false" outlineLevel="0" collapsed="false">
      <c r="A132" s="5" t="s">
        <v>113</v>
      </c>
      <c r="B132" s="6" t="n">
        <v>45791</v>
      </c>
      <c r="C132" s="5" t="n">
        <v>2025</v>
      </c>
      <c r="D132" s="5" t="s">
        <v>41</v>
      </c>
      <c r="E132" s="5" t="s">
        <v>34</v>
      </c>
      <c r="F132" s="5" t="s">
        <v>37</v>
      </c>
    </row>
    <row r="133" customFormat="false" ht="15" hidden="false" customHeight="false" outlineLevel="0" collapsed="false">
      <c r="A133" s="5" t="s">
        <v>113</v>
      </c>
      <c r="B133" s="6" t="n">
        <v>45791</v>
      </c>
      <c r="C133" s="5" t="n">
        <v>2025</v>
      </c>
      <c r="D133" s="5" t="s">
        <v>50</v>
      </c>
      <c r="E133" s="5" t="s">
        <v>34</v>
      </c>
      <c r="F133" s="5" t="s">
        <v>35</v>
      </c>
    </row>
    <row r="134" customFormat="false" ht="15" hidden="false" customHeight="false" outlineLevel="0" collapsed="false">
      <c r="A134" s="5" t="s">
        <v>114</v>
      </c>
      <c r="B134" s="6" t="n">
        <v>45791</v>
      </c>
      <c r="C134" s="5" t="n">
        <v>2025</v>
      </c>
      <c r="D134" s="5" t="s">
        <v>68</v>
      </c>
      <c r="E134" s="5" t="s">
        <v>43</v>
      </c>
      <c r="F134" s="5" t="s">
        <v>37</v>
      </c>
    </row>
    <row r="135" customFormat="false" ht="15" hidden="false" customHeight="false" outlineLevel="0" collapsed="false">
      <c r="A135" s="5" t="s">
        <v>114</v>
      </c>
      <c r="B135" s="6" t="n">
        <v>45791</v>
      </c>
      <c r="C135" s="5" t="n">
        <v>2025</v>
      </c>
      <c r="D135" s="5" t="s">
        <v>45</v>
      </c>
      <c r="E135" s="5" t="s">
        <v>43</v>
      </c>
      <c r="F135" s="5" t="s">
        <v>35</v>
      </c>
    </row>
    <row r="136" customFormat="false" ht="15" hidden="false" customHeight="false" outlineLevel="0" collapsed="false">
      <c r="A136" s="5" t="s">
        <v>115</v>
      </c>
      <c r="B136" s="6" t="n">
        <v>45792</v>
      </c>
      <c r="C136" s="5" t="n">
        <v>2025</v>
      </c>
      <c r="D136" s="5" t="s">
        <v>36</v>
      </c>
      <c r="E136" s="5" t="s">
        <v>43</v>
      </c>
      <c r="F136" s="5" t="s">
        <v>37</v>
      </c>
    </row>
    <row r="137" customFormat="false" ht="15" hidden="false" customHeight="false" outlineLevel="0" collapsed="false">
      <c r="A137" s="5" t="s">
        <v>115</v>
      </c>
      <c r="B137" s="6" t="n">
        <v>45792</v>
      </c>
      <c r="C137" s="5" t="n">
        <v>2025</v>
      </c>
      <c r="D137" s="5" t="s">
        <v>41</v>
      </c>
      <c r="E137" s="5" t="s">
        <v>43</v>
      </c>
      <c r="F137" s="5" t="s">
        <v>35</v>
      </c>
    </row>
    <row r="138" customFormat="false" ht="15" hidden="false" customHeight="false" outlineLevel="0" collapsed="false">
      <c r="A138" s="5" t="s">
        <v>116</v>
      </c>
      <c r="B138" s="6" t="n">
        <v>45793</v>
      </c>
      <c r="C138" s="5" t="n">
        <v>2025</v>
      </c>
      <c r="D138" s="5" t="s">
        <v>50</v>
      </c>
      <c r="E138" s="5" t="s">
        <v>43</v>
      </c>
      <c r="F138" s="5" t="s">
        <v>37</v>
      </c>
    </row>
    <row r="139" customFormat="false" ht="15" hidden="false" customHeight="false" outlineLevel="0" collapsed="false">
      <c r="A139" s="5" t="s">
        <v>116</v>
      </c>
      <c r="B139" s="6" t="n">
        <v>45793</v>
      </c>
      <c r="C139" s="5" t="n">
        <v>2025</v>
      </c>
      <c r="D139" s="5" t="s">
        <v>33</v>
      </c>
      <c r="E139" s="5" t="s">
        <v>43</v>
      </c>
      <c r="F139" s="5" t="s">
        <v>35</v>
      </c>
    </row>
    <row r="140" customFormat="false" ht="15" hidden="false" customHeight="false" outlineLevel="0" collapsed="false">
      <c r="A140" s="5" t="s">
        <v>117</v>
      </c>
      <c r="B140" s="6" t="n">
        <v>45793</v>
      </c>
      <c r="C140" s="5" t="n">
        <v>2025</v>
      </c>
      <c r="D140" s="5" t="s">
        <v>39</v>
      </c>
      <c r="E140" s="5" t="s">
        <v>51</v>
      </c>
      <c r="F140" s="5" t="s">
        <v>37</v>
      </c>
    </row>
    <row r="141" customFormat="false" ht="15" hidden="false" customHeight="false" outlineLevel="0" collapsed="false">
      <c r="A141" s="5" t="s">
        <v>117</v>
      </c>
      <c r="B141" s="6" t="n">
        <v>45793</v>
      </c>
      <c r="C141" s="5" t="n">
        <v>2025</v>
      </c>
      <c r="D141" s="5" t="s">
        <v>68</v>
      </c>
      <c r="E141" s="5" t="s">
        <v>51</v>
      </c>
      <c r="F141" s="5" t="s">
        <v>35</v>
      </c>
    </row>
    <row r="142" customFormat="false" ht="15" hidden="false" customHeight="false" outlineLevel="0" collapsed="false">
      <c r="A142" s="5" t="s">
        <v>118</v>
      </c>
      <c r="B142" s="6" t="n">
        <v>45793</v>
      </c>
      <c r="C142" s="5" t="n">
        <v>2025</v>
      </c>
      <c r="D142" s="5" t="s">
        <v>45</v>
      </c>
      <c r="E142" s="5" t="s">
        <v>57</v>
      </c>
      <c r="F142" s="5" t="s">
        <v>37</v>
      </c>
    </row>
    <row r="143" customFormat="false" ht="15" hidden="false" customHeight="false" outlineLevel="0" collapsed="false">
      <c r="A143" s="5" t="s">
        <v>118</v>
      </c>
      <c r="B143" s="6" t="n">
        <v>45793</v>
      </c>
      <c r="C143" s="5" t="n">
        <v>2025</v>
      </c>
      <c r="D143" s="5" t="s">
        <v>53</v>
      </c>
      <c r="E143" s="5" t="s">
        <v>57</v>
      </c>
      <c r="F143" s="5" t="s">
        <v>35</v>
      </c>
    </row>
    <row r="144" customFormat="false" ht="15" hidden="false" customHeight="false" outlineLevel="0" collapsed="false">
      <c r="A144" s="5" t="s">
        <v>119</v>
      </c>
      <c r="B144" s="6" t="n">
        <v>45794</v>
      </c>
      <c r="C144" s="5" t="n">
        <v>2025</v>
      </c>
      <c r="D144" s="5" t="s">
        <v>53</v>
      </c>
      <c r="E144" s="5" t="s">
        <v>43</v>
      </c>
      <c r="F144" s="5" t="s">
        <v>35</v>
      </c>
    </row>
    <row r="145" customFormat="false" ht="15" hidden="false" customHeight="false" outlineLevel="0" collapsed="false">
      <c r="A145" s="5" t="s">
        <v>119</v>
      </c>
      <c r="B145" s="6" t="n">
        <v>45794</v>
      </c>
      <c r="C145" s="5" t="n">
        <v>2025</v>
      </c>
      <c r="D145" s="5" t="s">
        <v>41</v>
      </c>
      <c r="E145" s="5" t="s">
        <v>43</v>
      </c>
      <c r="F145" s="5" t="s">
        <v>37</v>
      </c>
    </row>
    <row r="146" customFormat="false" ht="15" hidden="false" customHeight="false" outlineLevel="0" collapsed="false">
      <c r="A146" s="5" t="s">
        <v>120</v>
      </c>
      <c r="B146" s="6" t="n">
        <v>45794</v>
      </c>
      <c r="C146" s="5" t="n">
        <v>2025</v>
      </c>
      <c r="D146" s="5" t="s">
        <v>36</v>
      </c>
      <c r="E146" s="5" t="s">
        <v>57</v>
      </c>
      <c r="F146" s="5" t="s">
        <v>35</v>
      </c>
    </row>
    <row r="147" customFormat="false" ht="15" hidden="false" customHeight="false" outlineLevel="0" collapsed="false">
      <c r="A147" s="5" t="s">
        <v>120</v>
      </c>
      <c r="B147" s="6" t="n">
        <v>45794</v>
      </c>
      <c r="C147" s="5" t="n">
        <v>2025</v>
      </c>
      <c r="D147" s="5" t="s">
        <v>68</v>
      </c>
      <c r="E147" s="5" t="s">
        <v>57</v>
      </c>
      <c r="F147" s="5" t="s">
        <v>37</v>
      </c>
    </row>
    <row r="148" customFormat="false" ht="15" hidden="false" customHeight="false" outlineLevel="0" collapsed="false">
      <c r="A148" s="5" t="s">
        <v>121</v>
      </c>
      <c r="B148" s="6" t="n">
        <v>45795</v>
      </c>
      <c r="C148" s="5" t="n">
        <v>2025</v>
      </c>
      <c r="D148" s="5" t="s">
        <v>45</v>
      </c>
      <c r="E148" s="5" t="s">
        <v>51</v>
      </c>
      <c r="F148" s="5" t="s">
        <v>37</v>
      </c>
    </row>
    <row r="149" customFormat="false" ht="15" hidden="false" customHeight="false" outlineLevel="0" collapsed="false">
      <c r="A149" s="5" t="s">
        <v>121</v>
      </c>
      <c r="B149" s="6" t="n">
        <v>45795</v>
      </c>
      <c r="C149" s="5" t="n">
        <v>2025</v>
      </c>
      <c r="D149" s="5" t="s">
        <v>41</v>
      </c>
      <c r="E149" s="5" t="s">
        <v>51</v>
      </c>
      <c r="F149" s="5" t="s">
        <v>35</v>
      </c>
    </row>
    <row r="150" customFormat="false" ht="15" hidden="false" customHeight="false" outlineLevel="0" collapsed="false">
      <c r="A150" s="5" t="s">
        <v>122</v>
      </c>
      <c r="B150" s="6" t="n">
        <v>45795</v>
      </c>
      <c r="C150" s="5" t="n">
        <v>2025</v>
      </c>
      <c r="D150" s="5" t="s">
        <v>33</v>
      </c>
      <c r="E150" s="5" t="s">
        <v>57</v>
      </c>
      <c r="F150" s="5" t="s">
        <v>37</v>
      </c>
    </row>
    <row r="151" customFormat="false" ht="15" hidden="false" customHeight="false" outlineLevel="0" collapsed="false">
      <c r="A151" s="5" t="s">
        <v>122</v>
      </c>
      <c r="B151" s="6" t="n">
        <v>45795</v>
      </c>
      <c r="C151" s="5" t="n">
        <v>2025</v>
      </c>
      <c r="D151" s="5" t="s">
        <v>36</v>
      </c>
      <c r="E151" s="5" t="s">
        <v>57</v>
      </c>
      <c r="F151" s="5" t="s">
        <v>35</v>
      </c>
    </row>
    <row r="152" customFormat="false" ht="15" hidden="false" customHeight="false" outlineLevel="0" collapsed="false">
      <c r="A152" s="5" t="s">
        <v>123</v>
      </c>
      <c r="B152" s="6" t="n">
        <v>45797</v>
      </c>
      <c r="C152" s="5" t="n">
        <v>2025</v>
      </c>
      <c r="D152" s="5" t="s">
        <v>33</v>
      </c>
      <c r="E152" s="5" t="s">
        <v>34</v>
      </c>
      <c r="F152" s="5" t="s">
        <v>37</v>
      </c>
    </row>
    <row r="153" customFormat="false" ht="15" hidden="false" customHeight="false" outlineLevel="0" collapsed="false">
      <c r="A153" s="5" t="s">
        <v>123</v>
      </c>
      <c r="B153" s="6" t="n">
        <v>45797</v>
      </c>
      <c r="C153" s="5" t="n">
        <v>2025</v>
      </c>
      <c r="D153" s="5" t="s">
        <v>45</v>
      </c>
      <c r="E153" s="5" t="s">
        <v>34</v>
      </c>
      <c r="F153" s="5" t="s">
        <v>35</v>
      </c>
    </row>
    <row r="154" customFormat="false" ht="15" hidden="false" customHeight="false" outlineLevel="0" collapsed="false">
      <c r="A154" s="5" t="s">
        <v>124</v>
      </c>
      <c r="B154" s="6" t="n">
        <v>45799</v>
      </c>
      <c r="C154" s="5" t="n">
        <v>2025</v>
      </c>
      <c r="D154" s="5" t="s">
        <v>45</v>
      </c>
      <c r="E154" s="5" t="s">
        <v>48</v>
      </c>
      <c r="F154" s="5" t="s">
        <v>37</v>
      </c>
    </row>
    <row r="155" customFormat="false" ht="15" hidden="false" customHeight="false" outlineLevel="0" collapsed="false">
      <c r="A155" s="5" t="s">
        <v>124</v>
      </c>
      <c r="B155" s="6" t="n">
        <v>45799</v>
      </c>
      <c r="C155" s="5" t="n">
        <v>2025</v>
      </c>
      <c r="D155" s="5" t="s">
        <v>53</v>
      </c>
      <c r="E155" s="5" t="s">
        <v>48</v>
      </c>
      <c r="F155" s="5" t="s">
        <v>35</v>
      </c>
    </row>
    <row r="156" customFormat="false" ht="15" hidden="false" customHeight="false" outlineLevel="0" collapsed="false">
      <c r="A156" s="5" t="s">
        <v>125</v>
      </c>
      <c r="B156" s="6" t="n">
        <v>45799</v>
      </c>
      <c r="C156" s="5" t="n">
        <v>2025</v>
      </c>
      <c r="D156" s="5" t="s">
        <v>68</v>
      </c>
      <c r="E156" s="5" t="s">
        <v>43</v>
      </c>
      <c r="F156" s="5" t="s">
        <v>35</v>
      </c>
    </row>
    <row r="157" customFormat="false" ht="15" hidden="false" customHeight="false" outlineLevel="0" collapsed="false">
      <c r="A157" s="5" t="s">
        <v>125</v>
      </c>
      <c r="B157" s="6" t="n">
        <v>45799</v>
      </c>
      <c r="C157" s="5" t="n">
        <v>2025</v>
      </c>
      <c r="D157" s="5" t="s">
        <v>45</v>
      </c>
      <c r="E157" s="5" t="s">
        <v>43</v>
      </c>
      <c r="F157" s="5" t="s">
        <v>37</v>
      </c>
    </row>
    <row r="158" customFormat="false" ht="15" hidden="false" customHeight="false" outlineLevel="0" collapsed="false">
      <c r="A158" s="5" t="s">
        <v>126</v>
      </c>
      <c r="B158" s="6" t="n">
        <v>45802</v>
      </c>
      <c r="C158" s="5" t="n">
        <v>2025</v>
      </c>
      <c r="D158" s="5" t="s">
        <v>39</v>
      </c>
      <c r="E158" s="5" t="s">
        <v>48</v>
      </c>
      <c r="F158" s="5" t="s">
        <v>35</v>
      </c>
    </row>
    <row r="159" customFormat="false" ht="15" hidden="false" customHeight="false" outlineLevel="0" collapsed="false">
      <c r="A159" s="5" t="s">
        <v>126</v>
      </c>
      <c r="B159" s="6" t="n">
        <v>45802</v>
      </c>
      <c r="C159" s="5" t="n">
        <v>2025</v>
      </c>
      <c r="D159" s="5" t="s">
        <v>41</v>
      </c>
      <c r="E159" s="5" t="s">
        <v>48</v>
      </c>
      <c r="F159" s="5" t="s">
        <v>37</v>
      </c>
    </row>
    <row r="160" customFormat="false" ht="15" hidden="false" customHeight="false" outlineLevel="0" collapsed="false">
      <c r="A160" s="5" t="s">
        <v>127</v>
      </c>
      <c r="B160" s="6" t="n">
        <v>45803</v>
      </c>
      <c r="C160" s="5" t="n">
        <v>2025</v>
      </c>
      <c r="D160" s="5" t="s">
        <v>53</v>
      </c>
      <c r="E160" s="5" t="s">
        <v>40</v>
      </c>
      <c r="F160" s="5" t="s">
        <v>37</v>
      </c>
    </row>
    <row r="161" customFormat="false" ht="15" hidden="false" customHeight="false" outlineLevel="0" collapsed="false">
      <c r="A161" s="5" t="s">
        <v>127</v>
      </c>
      <c r="B161" s="6" t="n">
        <v>45803</v>
      </c>
      <c r="C161" s="5" t="n">
        <v>2025</v>
      </c>
      <c r="D161" s="5" t="s">
        <v>39</v>
      </c>
      <c r="E161" s="5" t="s">
        <v>40</v>
      </c>
      <c r="F161" s="5" t="s">
        <v>35</v>
      </c>
    </row>
    <row r="162" customFormat="false" ht="15" hidden="false" customHeight="false" outlineLevel="0" collapsed="false">
      <c r="A162" s="5" t="s">
        <v>128</v>
      </c>
      <c r="B162" s="6" t="n">
        <v>46105</v>
      </c>
      <c r="C162" s="5" t="n">
        <v>2026</v>
      </c>
      <c r="D162" s="5" t="s">
        <v>50</v>
      </c>
      <c r="E162" s="5" t="s">
        <v>40</v>
      </c>
      <c r="F162" s="5" t="s">
        <v>37</v>
      </c>
    </row>
    <row r="163" customFormat="false" ht="15" hidden="false" customHeight="false" outlineLevel="0" collapsed="false">
      <c r="A163" s="5" t="s">
        <v>128</v>
      </c>
      <c r="B163" s="6" t="n">
        <v>46105</v>
      </c>
      <c r="C163" s="5" t="n">
        <v>2026</v>
      </c>
      <c r="D163" s="5" t="s">
        <v>36</v>
      </c>
      <c r="E163" s="5" t="s">
        <v>40</v>
      </c>
      <c r="F163" s="5" t="s">
        <v>35</v>
      </c>
    </row>
    <row r="164" customFormat="false" ht="15" hidden="false" customHeight="false" outlineLevel="0" collapsed="false">
      <c r="A164" s="5" t="s">
        <v>129</v>
      </c>
      <c r="B164" s="6" t="n">
        <v>46106</v>
      </c>
      <c r="C164" s="5" t="n">
        <v>2026</v>
      </c>
      <c r="D164" s="5" t="s">
        <v>53</v>
      </c>
      <c r="E164" s="5" t="s">
        <v>57</v>
      </c>
      <c r="F164" s="5" t="s">
        <v>37</v>
      </c>
    </row>
    <row r="165" customFormat="false" ht="15" hidden="false" customHeight="false" outlineLevel="0" collapsed="false">
      <c r="A165" s="5" t="s">
        <v>129</v>
      </c>
      <c r="B165" s="6" t="n">
        <v>46106</v>
      </c>
      <c r="C165" s="5" t="n">
        <v>2026</v>
      </c>
      <c r="D165" s="5" t="s">
        <v>33</v>
      </c>
      <c r="E165" s="5" t="s">
        <v>57</v>
      </c>
      <c r="F165" s="5" t="s">
        <v>35</v>
      </c>
    </row>
    <row r="166" customFormat="false" ht="15" hidden="false" customHeight="false" outlineLevel="0" collapsed="false">
      <c r="A166" s="5" t="s">
        <v>130</v>
      </c>
      <c r="B166" s="6" t="n">
        <v>46107</v>
      </c>
      <c r="C166" s="5" t="n">
        <v>2026</v>
      </c>
      <c r="D166" s="5" t="s">
        <v>36</v>
      </c>
      <c r="E166" s="5" t="s">
        <v>34</v>
      </c>
      <c r="F166" s="5" t="s">
        <v>35</v>
      </c>
    </row>
    <row r="167" customFormat="false" ht="15" hidden="false" customHeight="false" outlineLevel="0" collapsed="false">
      <c r="A167" s="5" t="s">
        <v>130</v>
      </c>
      <c r="B167" s="6" t="n">
        <v>46107</v>
      </c>
      <c r="C167" s="5" t="n">
        <v>2026</v>
      </c>
      <c r="D167" s="5" t="s">
        <v>45</v>
      </c>
      <c r="E167" s="5" t="s">
        <v>34</v>
      </c>
      <c r="F167" s="5" t="s">
        <v>37</v>
      </c>
    </row>
    <row r="168" customFormat="false" ht="15" hidden="false" customHeight="false" outlineLevel="0" collapsed="false">
      <c r="A168" s="5" t="s">
        <v>131</v>
      </c>
      <c r="B168" s="6" t="n">
        <v>46110</v>
      </c>
      <c r="C168" s="5" t="n">
        <v>2026</v>
      </c>
      <c r="D168" s="5" t="s">
        <v>50</v>
      </c>
      <c r="E168" s="5" t="s">
        <v>34</v>
      </c>
      <c r="F168" s="5" t="s">
        <v>35</v>
      </c>
    </row>
    <row r="169" customFormat="false" ht="15" hidden="false" customHeight="false" outlineLevel="0" collapsed="false">
      <c r="A169" s="5" t="s">
        <v>131</v>
      </c>
      <c r="B169" s="6" t="n">
        <v>46110</v>
      </c>
      <c r="C169" s="5" t="n">
        <v>2026</v>
      </c>
      <c r="D169" s="5" t="s">
        <v>41</v>
      </c>
      <c r="E169" s="5" t="s">
        <v>34</v>
      </c>
      <c r="F169" s="5" t="s">
        <v>37</v>
      </c>
    </row>
    <row r="170" customFormat="false" ht="15" hidden="false" customHeight="false" outlineLevel="0" collapsed="false">
      <c r="A170" s="5" t="s">
        <v>132</v>
      </c>
      <c r="B170" s="6" t="n">
        <v>46112</v>
      </c>
      <c r="C170" s="5" t="n">
        <v>2026</v>
      </c>
      <c r="D170" s="5" t="s">
        <v>50</v>
      </c>
      <c r="E170" s="5" t="s">
        <v>40</v>
      </c>
      <c r="F170" s="5" t="s">
        <v>37</v>
      </c>
    </row>
    <row r="171" customFormat="false" ht="15" hidden="false" customHeight="false" outlineLevel="0" collapsed="false">
      <c r="A171" s="5" t="s">
        <v>132</v>
      </c>
      <c r="B171" s="6" t="n">
        <v>46112</v>
      </c>
      <c r="C171" s="5" t="n">
        <v>2026</v>
      </c>
      <c r="D171" s="5" t="s">
        <v>68</v>
      </c>
      <c r="E171" s="5" t="s">
        <v>40</v>
      </c>
      <c r="F171" s="5" t="s">
        <v>35</v>
      </c>
    </row>
    <row r="172" customFormat="false" ht="15" hidden="false" customHeight="false" outlineLevel="0" collapsed="false">
      <c r="A172" s="5" t="s">
        <v>133</v>
      </c>
      <c r="B172" s="6" t="n">
        <v>46117</v>
      </c>
      <c r="C172" s="5" t="n">
        <v>2026</v>
      </c>
      <c r="D172" s="5" t="s">
        <v>33</v>
      </c>
      <c r="E172" s="5" t="s">
        <v>40</v>
      </c>
      <c r="F172" s="5" t="s">
        <v>35</v>
      </c>
    </row>
    <row r="173" customFormat="false" ht="15" hidden="false" customHeight="false" outlineLevel="0" collapsed="false">
      <c r="A173" s="5" t="s">
        <v>133</v>
      </c>
      <c r="B173" s="6" t="n">
        <v>46117</v>
      </c>
      <c r="C173" s="5" t="n">
        <v>2026</v>
      </c>
      <c r="D173" s="5" t="s">
        <v>41</v>
      </c>
      <c r="E173" s="5" t="s">
        <v>40</v>
      </c>
      <c r="F173" s="5" t="s">
        <v>37</v>
      </c>
    </row>
    <row r="174" customFormat="false" ht="15" hidden="false" customHeight="false" outlineLevel="0" collapsed="false">
      <c r="A174" s="5" t="s">
        <v>134</v>
      </c>
      <c r="B174" s="6" t="n">
        <v>46118</v>
      </c>
      <c r="C174" s="5" t="n">
        <v>2026</v>
      </c>
      <c r="D174" s="5" t="s">
        <v>36</v>
      </c>
      <c r="E174" s="5" t="s">
        <v>51</v>
      </c>
      <c r="F174" s="5" t="s">
        <v>37</v>
      </c>
    </row>
    <row r="175" customFormat="false" ht="15" hidden="false" customHeight="false" outlineLevel="0" collapsed="false">
      <c r="A175" s="5" t="s">
        <v>134</v>
      </c>
      <c r="B175" s="6" t="n">
        <v>46118</v>
      </c>
      <c r="C175" s="5" t="n">
        <v>2026</v>
      </c>
      <c r="D175" s="5" t="s">
        <v>53</v>
      </c>
      <c r="E175" s="5" t="s">
        <v>51</v>
      </c>
      <c r="F175" s="5" t="s">
        <v>35</v>
      </c>
    </row>
    <row r="176" customFormat="false" ht="15" hidden="false" customHeight="false" outlineLevel="0" collapsed="false">
      <c r="A176" s="5" t="s">
        <v>135</v>
      </c>
      <c r="B176" s="6" t="n">
        <v>46119</v>
      </c>
      <c r="C176" s="5" t="n">
        <v>2026</v>
      </c>
      <c r="D176" s="5" t="s">
        <v>33</v>
      </c>
      <c r="E176" s="5" t="s">
        <v>48</v>
      </c>
      <c r="F176" s="5" t="s">
        <v>37</v>
      </c>
    </row>
    <row r="177" customFormat="false" ht="15" hidden="false" customHeight="false" outlineLevel="0" collapsed="false">
      <c r="A177" s="5" t="s">
        <v>135</v>
      </c>
      <c r="B177" s="6" t="n">
        <v>46119</v>
      </c>
      <c r="C177" s="5" t="n">
        <v>2026</v>
      </c>
      <c r="D177" s="5" t="s">
        <v>41</v>
      </c>
      <c r="E177" s="5" t="s">
        <v>48</v>
      </c>
      <c r="F177" s="5" t="s">
        <v>35</v>
      </c>
    </row>
    <row r="178" customFormat="false" ht="15" hidden="false" customHeight="false" outlineLevel="0" collapsed="false">
      <c r="A178" s="5" t="s">
        <v>136</v>
      </c>
      <c r="B178" s="6" t="n">
        <v>46121</v>
      </c>
      <c r="C178" s="5" t="n">
        <v>2026</v>
      </c>
      <c r="D178" s="5" t="s">
        <v>53</v>
      </c>
      <c r="E178" s="5" t="s">
        <v>40</v>
      </c>
      <c r="F178" s="5" t="s">
        <v>35</v>
      </c>
    </row>
    <row r="179" customFormat="false" ht="15" hidden="false" customHeight="false" outlineLevel="0" collapsed="false">
      <c r="A179" s="5" t="s">
        <v>136</v>
      </c>
      <c r="B179" s="6" t="n">
        <v>46121</v>
      </c>
      <c r="C179" s="5" t="n">
        <v>2026</v>
      </c>
      <c r="D179" s="5" t="s">
        <v>45</v>
      </c>
      <c r="E179" s="5" t="s">
        <v>40</v>
      </c>
      <c r="F179" s="5" t="s">
        <v>37</v>
      </c>
    </row>
    <row r="180" customFormat="false" ht="15" hidden="false" customHeight="false" outlineLevel="0" collapsed="false">
      <c r="A180" s="5" t="s">
        <v>137</v>
      </c>
      <c r="B180" s="6" t="n">
        <v>46123</v>
      </c>
      <c r="C180" s="5" t="n">
        <v>2026</v>
      </c>
      <c r="D180" s="5" t="s">
        <v>36</v>
      </c>
      <c r="E180" s="5" t="s">
        <v>48</v>
      </c>
      <c r="F180" s="5" t="s">
        <v>37</v>
      </c>
    </row>
    <row r="181" customFormat="false" ht="15" hidden="false" customHeight="false" outlineLevel="0" collapsed="false">
      <c r="A181" s="5" t="s">
        <v>137</v>
      </c>
      <c r="B181" s="6" t="n">
        <v>46123</v>
      </c>
      <c r="C181" s="5" t="n">
        <v>2026</v>
      </c>
      <c r="D181" s="5" t="s">
        <v>41</v>
      </c>
      <c r="E181" s="5" t="s">
        <v>48</v>
      </c>
      <c r="F181" s="5" t="s">
        <v>35</v>
      </c>
    </row>
    <row r="182" customFormat="false" ht="15" hidden="false" customHeight="false" outlineLevel="0" collapsed="false">
      <c r="A182" s="5" t="s">
        <v>138</v>
      </c>
      <c r="B182" s="6" t="n">
        <v>46127</v>
      </c>
      <c r="C182" s="5" t="n">
        <v>2026</v>
      </c>
      <c r="D182" s="5" t="s">
        <v>50</v>
      </c>
      <c r="E182" s="5" t="s">
        <v>57</v>
      </c>
      <c r="F182" s="5" t="s">
        <v>35</v>
      </c>
    </row>
    <row r="183" customFormat="false" ht="15" hidden="false" customHeight="false" outlineLevel="0" collapsed="false">
      <c r="A183" s="5" t="s">
        <v>138</v>
      </c>
      <c r="B183" s="6" t="n">
        <v>46127</v>
      </c>
      <c r="C183" s="5" t="n">
        <v>2026</v>
      </c>
      <c r="D183" s="5" t="s">
        <v>36</v>
      </c>
      <c r="E183" s="5" t="s">
        <v>57</v>
      </c>
      <c r="F183" s="5" t="s">
        <v>37</v>
      </c>
    </row>
    <row r="184" customFormat="false" ht="15" hidden="false" customHeight="false" outlineLevel="0" collapsed="false">
      <c r="A184" s="5" t="s">
        <v>139</v>
      </c>
      <c r="B184" s="6" t="n">
        <v>46131</v>
      </c>
      <c r="C184" s="5" t="n">
        <v>2026</v>
      </c>
      <c r="D184" s="5" t="s">
        <v>36</v>
      </c>
      <c r="E184" s="5" t="s">
        <v>51</v>
      </c>
      <c r="F184" s="5" t="s">
        <v>37</v>
      </c>
    </row>
    <row r="185" customFormat="false" ht="15" hidden="false" customHeight="false" outlineLevel="0" collapsed="false">
      <c r="A185" s="5" t="s">
        <v>139</v>
      </c>
      <c r="B185" s="6" t="n">
        <v>46131</v>
      </c>
      <c r="C185" s="5" t="n">
        <v>2026</v>
      </c>
      <c r="D185" s="5" t="s">
        <v>45</v>
      </c>
      <c r="E185" s="5" t="s">
        <v>51</v>
      </c>
      <c r="F185" s="5" t="s">
        <v>35</v>
      </c>
    </row>
    <row r="186" customFormat="false" ht="15" hidden="false" customHeight="false" outlineLevel="0" collapsed="false">
      <c r="A186" s="5" t="s">
        <v>140</v>
      </c>
      <c r="B186" s="6" t="n">
        <v>46132</v>
      </c>
      <c r="C186" s="5" t="n">
        <v>2026</v>
      </c>
      <c r="D186" s="5" t="s">
        <v>53</v>
      </c>
      <c r="E186" s="5" t="s">
        <v>51</v>
      </c>
      <c r="F186" s="5" t="s">
        <v>37</v>
      </c>
    </row>
    <row r="187" customFormat="false" ht="15" hidden="false" customHeight="false" outlineLevel="0" collapsed="false">
      <c r="A187" s="5" t="s">
        <v>140</v>
      </c>
      <c r="B187" s="6" t="n">
        <v>46132</v>
      </c>
      <c r="C187" s="5" t="n">
        <v>2026</v>
      </c>
      <c r="D187" s="5" t="s">
        <v>41</v>
      </c>
      <c r="E187" s="5" t="s">
        <v>51</v>
      </c>
      <c r="F187" s="5" t="s">
        <v>35</v>
      </c>
    </row>
    <row r="188" customFormat="false" ht="15" hidden="false" customHeight="false" outlineLevel="0" collapsed="false">
      <c r="A188" s="5" t="s">
        <v>141</v>
      </c>
      <c r="B188" s="6" t="n">
        <v>46135</v>
      </c>
      <c r="C188" s="5" t="n">
        <v>2026</v>
      </c>
      <c r="D188" s="5" t="s">
        <v>41</v>
      </c>
      <c r="E188" s="5" t="s">
        <v>43</v>
      </c>
      <c r="F188" s="5" t="s">
        <v>35</v>
      </c>
    </row>
    <row r="189" customFormat="false" ht="15" hidden="false" customHeight="false" outlineLevel="0" collapsed="false">
      <c r="A189" s="5" t="s">
        <v>141</v>
      </c>
      <c r="B189" s="6" t="n">
        <v>46135</v>
      </c>
      <c r="C189" s="5" t="n">
        <v>2026</v>
      </c>
      <c r="D189" s="5" t="s">
        <v>68</v>
      </c>
      <c r="E189" s="5" t="s">
        <v>43</v>
      </c>
      <c r="F189" s="5" t="s">
        <v>37</v>
      </c>
    </row>
    <row r="190" customFormat="false" ht="15" hidden="false" customHeight="false" outlineLevel="0" collapsed="false">
      <c r="A190" s="5" t="s">
        <v>142</v>
      </c>
      <c r="B190" s="6" t="n">
        <v>46135</v>
      </c>
      <c r="C190" s="5" t="n">
        <v>2026</v>
      </c>
      <c r="D190" s="5" t="s">
        <v>41</v>
      </c>
      <c r="E190" s="5" t="s">
        <v>57</v>
      </c>
      <c r="F190" s="5" t="s">
        <v>37</v>
      </c>
    </row>
    <row r="191" customFormat="false" ht="15" hidden="false" customHeight="false" outlineLevel="0" collapsed="false">
      <c r="A191" s="5" t="s">
        <v>142</v>
      </c>
      <c r="B191" s="6" t="n">
        <v>46135</v>
      </c>
      <c r="C191" s="5" t="n">
        <v>2026</v>
      </c>
      <c r="D191" s="5" t="s">
        <v>50</v>
      </c>
      <c r="E191" s="5" t="s">
        <v>57</v>
      </c>
      <c r="F191" s="5" t="s">
        <v>35</v>
      </c>
    </row>
    <row r="192" customFormat="false" ht="15" hidden="false" customHeight="false" outlineLevel="0" collapsed="false">
      <c r="A192" s="5" t="s">
        <v>143</v>
      </c>
      <c r="B192" s="6" t="n">
        <v>46136</v>
      </c>
      <c r="C192" s="5" t="n">
        <v>2026</v>
      </c>
      <c r="D192" s="5" t="s">
        <v>39</v>
      </c>
      <c r="E192" s="5" t="s">
        <v>51</v>
      </c>
      <c r="F192" s="5" t="s">
        <v>35</v>
      </c>
    </row>
    <row r="193" customFormat="false" ht="15" hidden="false" customHeight="false" outlineLevel="0" collapsed="false">
      <c r="A193" s="5" t="s">
        <v>143</v>
      </c>
      <c r="B193" s="6" t="n">
        <v>46136</v>
      </c>
      <c r="C193" s="5" t="n">
        <v>2026</v>
      </c>
      <c r="D193" s="5" t="s">
        <v>68</v>
      </c>
      <c r="E193" s="5" t="s">
        <v>51</v>
      </c>
      <c r="F193" s="5" t="s">
        <v>37</v>
      </c>
    </row>
    <row r="194" customFormat="false" ht="15" hidden="false" customHeight="false" outlineLevel="0" collapsed="false">
      <c r="A194" s="5" t="s">
        <v>144</v>
      </c>
      <c r="B194" s="6" t="n">
        <v>46140</v>
      </c>
      <c r="C194" s="5" t="n">
        <v>2026</v>
      </c>
      <c r="D194" s="5" t="s">
        <v>53</v>
      </c>
      <c r="E194" s="5" t="s">
        <v>51</v>
      </c>
      <c r="F194" s="5" t="s">
        <v>37</v>
      </c>
    </row>
    <row r="195" customFormat="false" ht="15" hidden="false" customHeight="false" outlineLevel="0" collapsed="false">
      <c r="A195" s="5" t="s">
        <v>144</v>
      </c>
      <c r="B195" s="6" t="n">
        <v>46140</v>
      </c>
      <c r="C195" s="5" t="n">
        <v>2026</v>
      </c>
      <c r="D195" s="5" t="s">
        <v>36</v>
      </c>
      <c r="E195" s="5" t="s">
        <v>51</v>
      </c>
      <c r="F195" s="5" t="s">
        <v>35</v>
      </c>
    </row>
    <row r="196" customFormat="false" ht="15" hidden="false" customHeight="false" outlineLevel="0" collapsed="false">
      <c r="A196" s="5" t="s">
        <v>145</v>
      </c>
      <c r="B196" s="6" t="n">
        <v>46140</v>
      </c>
      <c r="C196" s="5" t="n">
        <v>2026</v>
      </c>
      <c r="D196" s="5" t="s">
        <v>68</v>
      </c>
      <c r="E196" s="5" t="s">
        <v>57</v>
      </c>
      <c r="F196" s="5" t="s">
        <v>35</v>
      </c>
    </row>
    <row r="197" customFormat="false" ht="15" hidden="false" customHeight="false" outlineLevel="0" collapsed="false">
      <c r="A197" s="5" t="s">
        <v>145</v>
      </c>
      <c r="B197" s="6" t="n">
        <v>46140</v>
      </c>
      <c r="C197" s="5" t="n">
        <v>2026</v>
      </c>
      <c r="D197" s="5" t="s">
        <v>53</v>
      </c>
      <c r="E197" s="5" t="s">
        <v>57</v>
      </c>
      <c r="F197" s="5" t="s">
        <v>37</v>
      </c>
    </row>
    <row r="198" customFormat="false" ht="15" hidden="false" customHeight="false" outlineLevel="0" collapsed="false">
      <c r="A198" s="5" t="s">
        <v>146</v>
      </c>
      <c r="B198" s="6" t="n">
        <v>46145</v>
      </c>
      <c r="C198" s="5" t="n">
        <v>2026</v>
      </c>
      <c r="D198" s="5" t="s">
        <v>39</v>
      </c>
      <c r="E198" s="5" t="s">
        <v>43</v>
      </c>
      <c r="F198" s="5" t="s">
        <v>35</v>
      </c>
    </row>
    <row r="199" customFormat="false" ht="15" hidden="false" customHeight="false" outlineLevel="0" collapsed="false">
      <c r="A199" s="5" t="s">
        <v>146</v>
      </c>
      <c r="B199" s="6" t="n">
        <v>46145</v>
      </c>
      <c r="C199" s="5" t="n">
        <v>2026</v>
      </c>
      <c r="D199" s="5" t="s">
        <v>33</v>
      </c>
      <c r="E199" s="5" t="s">
        <v>43</v>
      </c>
      <c r="F199" s="5" t="s">
        <v>37</v>
      </c>
    </row>
    <row r="200" customFormat="false" ht="15" hidden="false" customHeight="false" outlineLevel="0" collapsed="false">
      <c r="A200" s="5" t="s">
        <v>147</v>
      </c>
      <c r="B200" s="6" t="n">
        <v>46145</v>
      </c>
      <c r="C200" s="5" t="n">
        <v>2026</v>
      </c>
      <c r="D200" s="5" t="s">
        <v>45</v>
      </c>
      <c r="E200" s="5" t="s">
        <v>34</v>
      </c>
      <c r="F200" s="5" t="s">
        <v>37</v>
      </c>
    </row>
    <row r="201" customFormat="false" ht="15" hidden="false" customHeight="false" outlineLevel="0" collapsed="false">
      <c r="A201" s="5" t="s">
        <v>147</v>
      </c>
      <c r="B201" s="6" t="n">
        <v>46145</v>
      </c>
      <c r="C201" s="5" t="n">
        <v>2026</v>
      </c>
      <c r="D201" s="5" t="s">
        <v>50</v>
      </c>
      <c r="E201" s="5" t="s">
        <v>34</v>
      </c>
      <c r="F201" s="5" t="s">
        <v>35</v>
      </c>
    </row>
    <row r="202" customFormat="false" ht="15" hidden="false" customHeight="false" outlineLevel="0" collapsed="false">
      <c r="A202" s="5" t="s">
        <v>148</v>
      </c>
      <c r="B202" s="6" t="n">
        <v>46145</v>
      </c>
      <c r="C202" s="5" t="n">
        <v>2026</v>
      </c>
      <c r="D202" s="5" t="s">
        <v>53</v>
      </c>
      <c r="E202" s="5" t="s">
        <v>57</v>
      </c>
      <c r="F202" s="5" t="s">
        <v>35</v>
      </c>
    </row>
    <row r="203" customFormat="false" ht="15" hidden="false" customHeight="false" outlineLevel="0" collapsed="false">
      <c r="A203" s="5" t="s">
        <v>148</v>
      </c>
      <c r="B203" s="6" t="n">
        <v>46145</v>
      </c>
      <c r="C203" s="5" t="n">
        <v>2026</v>
      </c>
      <c r="D203" s="5" t="s">
        <v>41</v>
      </c>
      <c r="E203" s="5" t="s">
        <v>57</v>
      </c>
      <c r="F203" s="5" t="s">
        <v>37</v>
      </c>
    </row>
    <row r="204" customFormat="false" ht="15" hidden="false" customHeight="false" outlineLevel="0" collapsed="false">
      <c r="A204" s="5" t="s">
        <v>149</v>
      </c>
      <c r="B204" s="6" t="n">
        <v>46147</v>
      </c>
      <c r="C204" s="5" t="n">
        <v>2026</v>
      </c>
      <c r="D204" s="5" t="s">
        <v>41</v>
      </c>
      <c r="E204" s="5" t="s">
        <v>43</v>
      </c>
      <c r="F204" s="5" t="s">
        <v>37</v>
      </c>
    </row>
    <row r="205" customFormat="false" ht="15" hidden="false" customHeight="false" outlineLevel="0" collapsed="false">
      <c r="A205" s="5" t="s">
        <v>149</v>
      </c>
      <c r="B205" s="6" t="n">
        <v>46147</v>
      </c>
      <c r="C205" s="5" t="n">
        <v>2026</v>
      </c>
      <c r="D205" s="5" t="s">
        <v>45</v>
      </c>
      <c r="E205" s="5" t="s">
        <v>43</v>
      </c>
      <c r="F205" s="5" t="s">
        <v>35</v>
      </c>
    </row>
    <row r="206" customFormat="false" ht="15" hidden="false" customHeight="false" outlineLevel="0" collapsed="false">
      <c r="A206" s="5" t="s">
        <v>150</v>
      </c>
      <c r="B206" s="6" t="n">
        <v>46149</v>
      </c>
      <c r="C206" s="5" t="n">
        <v>2026</v>
      </c>
      <c r="D206" s="5" t="s">
        <v>50</v>
      </c>
      <c r="E206" s="5" t="s">
        <v>34</v>
      </c>
      <c r="F206" s="5" t="s">
        <v>37</v>
      </c>
    </row>
    <row r="207" customFormat="false" ht="15" hidden="false" customHeight="false" outlineLevel="0" collapsed="false">
      <c r="A207" s="5" t="s">
        <v>150</v>
      </c>
      <c r="B207" s="6" t="n">
        <v>46149</v>
      </c>
      <c r="C207" s="5" t="n">
        <v>2026</v>
      </c>
      <c r="D207" s="5" t="s">
        <v>41</v>
      </c>
      <c r="E207" s="5" t="s">
        <v>34</v>
      </c>
      <c r="F207" s="5" t="s">
        <v>35</v>
      </c>
    </row>
    <row r="208" customFormat="false" ht="15" hidden="false" customHeight="false" outlineLevel="0" collapsed="false">
      <c r="A208" s="5" t="s">
        <v>151</v>
      </c>
      <c r="B208" s="6" t="n">
        <v>46149</v>
      </c>
      <c r="C208" s="5" t="n">
        <v>2026</v>
      </c>
      <c r="D208" s="5" t="s">
        <v>50</v>
      </c>
      <c r="E208" s="5" t="s">
        <v>34</v>
      </c>
      <c r="F208" s="5" t="s">
        <v>35</v>
      </c>
    </row>
    <row r="209" customFormat="false" ht="15" hidden="false" customHeight="false" outlineLevel="0" collapsed="false">
      <c r="A209" s="5" t="s">
        <v>151</v>
      </c>
      <c r="B209" s="6" t="n">
        <v>46149</v>
      </c>
      <c r="C209" s="5" t="n">
        <v>2026</v>
      </c>
      <c r="D209" s="5" t="s">
        <v>41</v>
      </c>
      <c r="E209" s="5" t="s">
        <v>34</v>
      </c>
      <c r="F209" s="5" t="s">
        <v>37</v>
      </c>
    </row>
    <row r="210" customFormat="false" ht="15" hidden="false" customHeight="false" outlineLevel="0" collapsed="false">
      <c r="A210" s="5" t="s">
        <v>152</v>
      </c>
      <c r="B210" s="6" t="n">
        <v>46149</v>
      </c>
      <c r="C210" s="5" t="n">
        <v>2026</v>
      </c>
      <c r="D210" s="5" t="s">
        <v>39</v>
      </c>
      <c r="E210" s="5" t="s">
        <v>51</v>
      </c>
      <c r="F210" s="5" t="s">
        <v>35</v>
      </c>
    </row>
    <row r="211" customFormat="false" ht="15" hidden="false" customHeight="false" outlineLevel="0" collapsed="false">
      <c r="A211" s="5" t="s">
        <v>152</v>
      </c>
      <c r="B211" s="6" t="n">
        <v>46149</v>
      </c>
      <c r="C211" s="5" t="n">
        <v>2026</v>
      </c>
      <c r="D211" s="5" t="s">
        <v>50</v>
      </c>
      <c r="E211" s="5" t="s">
        <v>51</v>
      </c>
      <c r="F211" s="5" t="s">
        <v>37</v>
      </c>
    </row>
    <row r="212" customFormat="false" ht="15" hidden="false" customHeight="false" outlineLevel="0" collapsed="false">
      <c r="A212" s="5" t="s">
        <v>153</v>
      </c>
      <c r="B212" s="6" t="n">
        <v>46150</v>
      </c>
      <c r="C212" s="5" t="n">
        <v>2026</v>
      </c>
      <c r="D212" s="5" t="s">
        <v>39</v>
      </c>
      <c r="E212" s="5" t="s">
        <v>43</v>
      </c>
      <c r="F212" s="5" t="s">
        <v>37</v>
      </c>
    </row>
    <row r="213" customFormat="false" ht="15" hidden="false" customHeight="false" outlineLevel="0" collapsed="false">
      <c r="A213" s="5" t="s">
        <v>153</v>
      </c>
      <c r="B213" s="6" t="n">
        <v>46150</v>
      </c>
      <c r="C213" s="5" t="n">
        <v>2026</v>
      </c>
      <c r="D213" s="5" t="s">
        <v>53</v>
      </c>
      <c r="E213" s="5" t="s">
        <v>43</v>
      </c>
      <c r="F213" s="5" t="s">
        <v>35</v>
      </c>
    </row>
    <row r="214" customFormat="false" ht="15" hidden="false" customHeight="false" outlineLevel="0" collapsed="false">
      <c r="A214" s="5" t="s">
        <v>154</v>
      </c>
      <c r="B214" s="6" t="n">
        <v>46150</v>
      </c>
      <c r="C214" s="5" t="n">
        <v>2026</v>
      </c>
      <c r="D214" s="5" t="s">
        <v>45</v>
      </c>
      <c r="E214" s="5" t="s">
        <v>51</v>
      </c>
      <c r="F214" s="5" t="s">
        <v>35</v>
      </c>
    </row>
    <row r="215" customFormat="false" ht="15" hidden="false" customHeight="false" outlineLevel="0" collapsed="false">
      <c r="A215" s="5" t="s">
        <v>154</v>
      </c>
      <c r="B215" s="6" t="n">
        <v>46150</v>
      </c>
      <c r="C215" s="5" t="n">
        <v>2026</v>
      </c>
      <c r="D215" s="5" t="s">
        <v>50</v>
      </c>
      <c r="E215" s="5" t="s">
        <v>51</v>
      </c>
      <c r="F215" s="5" t="s">
        <v>37</v>
      </c>
    </row>
    <row r="216" customFormat="false" ht="15" hidden="false" customHeight="false" outlineLevel="0" collapsed="false">
      <c r="A216" s="5" t="s">
        <v>155</v>
      </c>
      <c r="B216" s="6" t="n">
        <v>46150</v>
      </c>
      <c r="C216" s="5" t="n">
        <v>2026</v>
      </c>
      <c r="D216" s="5" t="s">
        <v>50</v>
      </c>
      <c r="E216" s="5" t="s">
        <v>43</v>
      </c>
      <c r="F216" s="5" t="s">
        <v>37</v>
      </c>
    </row>
    <row r="217" customFormat="false" ht="15" hidden="false" customHeight="false" outlineLevel="0" collapsed="false">
      <c r="A217" s="5" t="s">
        <v>155</v>
      </c>
      <c r="B217" s="6" t="n">
        <v>46150</v>
      </c>
      <c r="C217" s="5" t="n">
        <v>2026</v>
      </c>
      <c r="D217" s="5" t="s">
        <v>68</v>
      </c>
      <c r="E217" s="5" t="s">
        <v>43</v>
      </c>
      <c r="F217" s="5" t="s">
        <v>35</v>
      </c>
    </row>
    <row r="218" customFormat="false" ht="15" hidden="false" customHeight="false" outlineLevel="0" collapsed="false">
      <c r="A218" s="5" t="s">
        <v>156</v>
      </c>
      <c r="B218" s="6" t="n">
        <v>46151</v>
      </c>
      <c r="C218" s="5" t="n">
        <v>2026</v>
      </c>
      <c r="D218" s="5" t="s">
        <v>39</v>
      </c>
      <c r="E218" s="5" t="s">
        <v>48</v>
      </c>
      <c r="F218" s="5" t="s">
        <v>35</v>
      </c>
    </row>
    <row r="219" customFormat="false" ht="15" hidden="false" customHeight="false" outlineLevel="0" collapsed="false">
      <c r="A219" s="5" t="s">
        <v>156</v>
      </c>
      <c r="B219" s="6" t="n">
        <v>46151</v>
      </c>
      <c r="C219" s="5" t="n">
        <v>2026</v>
      </c>
      <c r="D219" s="5" t="s">
        <v>33</v>
      </c>
      <c r="E219" s="5" t="s">
        <v>48</v>
      </c>
      <c r="F219" s="5" t="s">
        <v>37</v>
      </c>
    </row>
    <row r="220" customFormat="false" ht="15" hidden="false" customHeight="false" outlineLevel="0" collapsed="false">
      <c r="A220" s="5" t="s">
        <v>157</v>
      </c>
      <c r="B220" s="6" t="n">
        <v>46151</v>
      </c>
      <c r="C220" s="5" t="n">
        <v>2026</v>
      </c>
      <c r="D220" s="5" t="s">
        <v>33</v>
      </c>
      <c r="E220" s="5" t="s">
        <v>48</v>
      </c>
      <c r="F220" s="5" t="s">
        <v>35</v>
      </c>
    </row>
    <row r="221" customFormat="false" ht="15" hidden="false" customHeight="false" outlineLevel="0" collapsed="false">
      <c r="A221" s="5" t="s">
        <v>157</v>
      </c>
      <c r="B221" s="6" t="n">
        <v>46151</v>
      </c>
      <c r="C221" s="5" t="n">
        <v>2026</v>
      </c>
      <c r="D221" s="5" t="s">
        <v>45</v>
      </c>
      <c r="E221" s="5" t="s">
        <v>48</v>
      </c>
      <c r="F221" s="5" t="s">
        <v>37</v>
      </c>
    </row>
    <row r="222" customFormat="false" ht="15" hidden="false" customHeight="false" outlineLevel="0" collapsed="false">
      <c r="A222" s="5" t="s">
        <v>158</v>
      </c>
      <c r="B222" s="6" t="n">
        <v>46157</v>
      </c>
      <c r="C222" s="5" t="n">
        <v>2026</v>
      </c>
      <c r="D222" s="5" t="s">
        <v>33</v>
      </c>
      <c r="E222" s="5" t="s">
        <v>34</v>
      </c>
      <c r="F222" s="5" t="s">
        <v>35</v>
      </c>
    </row>
    <row r="223" customFormat="false" ht="15" hidden="false" customHeight="false" outlineLevel="0" collapsed="false">
      <c r="A223" s="5" t="s">
        <v>158</v>
      </c>
      <c r="B223" s="6" t="n">
        <v>46157</v>
      </c>
      <c r="C223" s="5" t="n">
        <v>2026</v>
      </c>
      <c r="D223" s="5" t="s">
        <v>41</v>
      </c>
      <c r="E223" s="5" t="s">
        <v>34</v>
      </c>
      <c r="F223" s="5" t="s">
        <v>37</v>
      </c>
    </row>
    <row r="224" customFormat="false" ht="15" hidden="false" customHeight="false" outlineLevel="0" collapsed="false">
      <c r="A224" s="5" t="s">
        <v>159</v>
      </c>
      <c r="B224" s="6" t="n">
        <v>46157</v>
      </c>
      <c r="C224" s="5" t="n">
        <v>2026</v>
      </c>
      <c r="D224" s="5" t="s">
        <v>39</v>
      </c>
      <c r="E224" s="5" t="s">
        <v>51</v>
      </c>
      <c r="F224" s="5" t="s">
        <v>37</v>
      </c>
    </row>
    <row r="225" customFormat="false" ht="15" hidden="false" customHeight="false" outlineLevel="0" collapsed="false">
      <c r="A225" s="5" t="s">
        <v>159</v>
      </c>
      <c r="B225" s="6" t="n">
        <v>46157</v>
      </c>
      <c r="C225" s="5" t="n">
        <v>2026</v>
      </c>
      <c r="D225" s="5" t="s">
        <v>45</v>
      </c>
      <c r="E225" s="5" t="s">
        <v>51</v>
      </c>
      <c r="F225" s="5" t="s">
        <v>35</v>
      </c>
    </row>
    <row r="226" customFormat="false" ht="15" hidden="false" customHeight="false" outlineLevel="0" collapsed="false">
      <c r="A226" s="5" t="s">
        <v>160</v>
      </c>
      <c r="B226" s="6" t="n">
        <v>46159</v>
      </c>
      <c r="C226" s="5" t="n">
        <v>2026</v>
      </c>
      <c r="D226" s="5" t="s">
        <v>41</v>
      </c>
      <c r="E226" s="5" t="s">
        <v>40</v>
      </c>
      <c r="F226" s="5" t="s">
        <v>37</v>
      </c>
    </row>
    <row r="227" customFormat="false" ht="15" hidden="false" customHeight="false" outlineLevel="0" collapsed="false">
      <c r="A227" s="5" t="s">
        <v>160</v>
      </c>
      <c r="B227" s="6" t="n">
        <v>46159</v>
      </c>
      <c r="C227" s="5" t="n">
        <v>2026</v>
      </c>
      <c r="D227" s="5" t="s">
        <v>68</v>
      </c>
      <c r="E227" s="5" t="s">
        <v>40</v>
      </c>
      <c r="F227" s="5" t="s">
        <v>35</v>
      </c>
    </row>
    <row r="228" customFormat="false" ht="15" hidden="false" customHeight="false" outlineLevel="0" collapsed="false">
      <c r="A228" s="5" t="s">
        <v>161</v>
      </c>
      <c r="B228" s="6" t="n">
        <v>46161</v>
      </c>
      <c r="C228" s="5" t="n">
        <v>2026</v>
      </c>
      <c r="D228" s="5" t="s">
        <v>68</v>
      </c>
      <c r="E228" s="5" t="s">
        <v>48</v>
      </c>
      <c r="F228" s="5" t="s">
        <v>35</v>
      </c>
    </row>
    <row r="229" customFormat="false" ht="15" hidden="false" customHeight="false" outlineLevel="0" collapsed="false">
      <c r="A229" s="5" t="s">
        <v>161</v>
      </c>
      <c r="B229" s="6" t="n">
        <v>46161</v>
      </c>
      <c r="C229" s="5" t="n">
        <v>2026</v>
      </c>
      <c r="D229" s="5" t="s">
        <v>53</v>
      </c>
      <c r="E229" s="5" t="s">
        <v>48</v>
      </c>
      <c r="F229" s="5" t="s">
        <v>37</v>
      </c>
    </row>
    <row r="230" customFormat="false" ht="15" hidden="false" customHeight="false" outlineLevel="0" collapsed="false">
      <c r="A230" s="5" t="s">
        <v>162</v>
      </c>
      <c r="B230" s="6" t="n">
        <v>46161</v>
      </c>
      <c r="C230" s="5" t="n">
        <v>2026</v>
      </c>
      <c r="D230" s="5" t="s">
        <v>33</v>
      </c>
      <c r="E230" s="5" t="s">
        <v>48</v>
      </c>
      <c r="F230" s="5" t="s">
        <v>37</v>
      </c>
    </row>
    <row r="231" customFormat="false" ht="15" hidden="false" customHeight="false" outlineLevel="0" collapsed="false">
      <c r="A231" s="5" t="s">
        <v>162</v>
      </c>
      <c r="B231" s="6" t="n">
        <v>46161</v>
      </c>
      <c r="C231" s="5" t="n">
        <v>2026</v>
      </c>
      <c r="D231" s="5" t="s">
        <v>53</v>
      </c>
      <c r="E231" s="5" t="s">
        <v>48</v>
      </c>
      <c r="F231" s="5" t="s">
        <v>35</v>
      </c>
    </row>
    <row r="232" customFormat="false" ht="15" hidden="false" customHeight="false" outlineLevel="0" collapsed="false">
      <c r="A232" s="5" t="s">
        <v>163</v>
      </c>
      <c r="B232" s="6" t="n">
        <v>46165</v>
      </c>
      <c r="C232" s="5" t="n">
        <v>2026</v>
      </c>
      <c r="D232" s="5" t="s">
        <v>50</v>
      </c>
      <c r="E232" s="5" t="s">
        <v>48</v>
      </c>
      <c r="F232" s="5" t="s">
        <v>37</v>
      </c>
    </row>
    <row r="233" customFormat="false" ht="15" hidden="false" customHeight="false" outlineLevel="0" collapsed="false">
      <c r="A233" s="5" t="s">
        <v>163</v>
      </c>
      <c r="B233" s="6" t="n">
        <v>46165</v>
      </c>
      <c r="C233" s="5" t="n">
        <v>2026</v>
      </c>
      <c r="D233" s="5" t="s">
        <v>45</v>
      </c>
      <c r="E233" s="5" t="s">
        <v>48</v>
      </c>
      <c r="F233" s="5" t="s">
        <v>35</v>
      </c>
    </row>
    <row r="234" customFormat="false" ht="15" hidden="false" customHeight="false" outlineLevel="0" collapsed="false">
      <c r="A234" s="5" t="s">
        <v>164</v>
      </c>
      <c r="B234" s="6" t="n">
        <v>46166</v>
      </c>
      <c r="C234" s="5" t="n">
        <v>2026</v>
      </c>
      <c r="D234" s="5" t="s">
        <v>53</v>
      </c>
      <c r="E234" s="5" t="s">
        <v>40</v>
      </c>
      <c r="F234" s="5" t="s">
        <v>37</v>
      </c>
    </row>
    <row r="235" customFormat="false" ht="15" hidden="false" customHeight="false" outlineLevel="0" collapsed="false">
      <c r="A235" s="5" t="s">
        <v>164</v>
      </c>
      <c r="B235" s="6" t="n">
        <v>46166</v>
      </c>
      <c r="C235" s="5" t="n">
        <v>2026</v>
      </c>
      <c r="D235" s="5" t="s">
        <v>68</v>
      </c>
      <c r="E235" s="5" t="s">
        <v>40</v>
      </c>
      <c r="F235" s="5" t="s">
        <v>35</v>
      </c>
    </row>
    <row r="236" customFormat="false" ht="15" hidden="false" customHeight="false" outlineLevel="0" collapsed="false">
      <c r="A236" s="5" t="s">
        <v>165</v>
      </c>
      <c r="B236" s="6" t="n">
        <v>46166</v>
      </c>
      <c r="C236" s="5" t="n">
        <v>2026</v>
      </c>
      <c r="D236" s="5" t="s">
        <v>33</v>
      </c>
      <c r="E236" s="5" t="s">
        <v>57</v>
      </c>
      <c r="F236" s="5" t="s">
        <v>37</v>
      </c>
    </row>
    <row r="237" customFormat="false" ht="15" hidden="false" customHeight="false" outlineLevel="0" collapsed="false">
      <c r="A237" s="5" t="s">
        <v>165</v>
      </c>
      <c r="B237" s="6" t="n">
        <v>46166</v>
      </c>
      <c r="C237" s="5" t="n">
        <v>2026</v>
      </c>
      <c r="D237" s="5" t="s">
        <v>45</v>
      </c>
      <c r="E237" s="5" t="s">
        <v>57</v>
      </c>
      <c r="F237" s="5" t="s">
        <v>35</v>
      </c>
    </row>
    <row r="238" customFormat="false" ht="15" hidden="false" customHeight="false" outlineLevel="0" collapsed="false">
      <c r="A238" s="5" t="s">
        <v>166</v>
      </c>
      <c r="B238" s="6" t="n">
        <v>46167</v>
      </c>
      <c r="C238" s="5" t="n">
        <v>2026</v>
      </c>
      <c r="D238" s="5" t="s">
        <v>33</v>
      </c>
      <c r="E238" s="5" t="s">
        <v>34</v>
      </c>
      <c r="F238" s="5" t="s">
        <v>37</v>
      </c>
    </row>
    <row r="239" customFormat="false" ht="15" hidden="false" customHeight="false" outlineLevel="0" collapsed="false">
      <c r="A239" s="5" t="s">
        <v>166</v>
      </c>
      <c r="B239" s="6" t="n">
        <v>46167</v>
      </c>
      <c r="C239" s="5" t="n">
        <v>2026</v>
      </c>
      <c r="D239" s="5" t="s">
        <v>45</v>
      </c>
      <c r="E239" s="5" t="s">
        <v>34</v>
      </c>
      <c r="F239" s="5" t="s">
        <v>35</v>
      </c>
    </row>
    <row r="240" customFormat="false" ht="15" hidden="false" customHeight="false" outlineLevel="0" collapsed="false">
      <c r="A240" s="5" t="s">
        <v>167</v>
      </c>
      <c r="B240" s="6" t="n">
        <v>46168</v>
      </c>
      <c r="C240" s="5" t="n">
        <v>2026</v>
      </c>
      <c r="D240" s="5" t="s">
        <v>50</v>
      </c>
      <c r="E240" s="5" t="s">
        <v>51</v>
      </c>
      <c r="F240" s="5" t="s">
        <v>35</v>
      </c>
    </row>
    <row r="241" customFormat="false" ht="15" hidden="false" customHeight="false" outlineLevel="0" collapsed="false">
      <c r="A241" s="5" t="s">
        <v>167</v>
      </c>
      <c r="B241" s="6" t="n">
        <v>46168</v>
      </c>
      <c r="C241" s="5" t="n">
        <v>2026</v>
      </c>
      <c r="D241" s="5" t="s">
        <v>41</v>
      </c>
      <c r="E241" s="5" t="s">
        <v>51</v>
      </c>
      <c r="F241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7"/>
  </cols>
  <sheetData>
    <row r="1" customFormat="false" ht="15" hidden="false" customHeight="false" outlineLevel="0" collapsed="false">
      <c r="A1" s="3" t="s">
        <v>29</v>
      </c>
      <c r="B1" s="3" t="s">
        <v>168</v>
      </c>
      <c r="C1" s="3" t="s">
        <v>169</v>
      </c>
    </row>
    <row r="2" customFormat="false" ht="15" hidden="false" customHeight="false" outlineLevel="0" collapsed="false">
      <c r="A2" s="5" t="s">
        <v>53</v>
      </c>
      <c r="B2" s="5" t="n">
        <f aca="false">COUNTIFS(Data!$D$2:$D$241,A2)</f>
        <v>32</v>
      </c>
      <c r="C2" s="5" t="n">
        <f aca="false">COUNTIFS(Data!$D$2:$D$241,A2,Data!$F$2:$F$241,"Win")</f>
        <v>17</v>
      </c>
    </row>
    <row r="3" customFormat="false" ht="15" hidden="false" customHeight="false" outlineLevel="0" collapsed="false">
      <c r="A3" s="5" t="s">
        <v>45</v>
      </c>
      <c r="B3" s="5" t="n">
        <f aca="false">COUNTIFS(Data!$D$2:$D$241,A3)</f>
        <v>29</v>
      </c>
      <c r="C3" s="5" t="n">
        <f aca="false">COUNTIFS(Data!$D$2:$D$241,A3,Data!$F$2:$F$241,"Win")</f>
        <v>19</v>
      </c>
    </row>
    <row r="4" customFormat="false" ht="15" hidden="false" customHeight="false" outlineLevel="0" collapsed="false">
      <c r="A4" s="5" t="s">
        <v>39</v>
      </c>
      <c r="B4" s="5" t="n">
        <f aca="false">COUNTIFS(Data!$D$2:$D$241,A4)</f>
        <v>22</v>
      </c>
      <c r="C4" s="5" t="n">
        <f aca="false">COUNTIFS(Data!$D$2:$D$241,A4,Data!$F$2:$F$241,"Win")</f>
        <v>11</v>
      </c>
    </row>
    <row r="5" customFormat="false" ht="15" hidden="false" customHeight="false" outlineLevel="0" collapsed="false">
      <c r="A5" s="5" t="s">
        <v>33</v>
      </c>
      <c r="B5" s="5" t="n">
        <f aca="false">COUNTIFS(Data!$D$2:$D$241,A5)</f>
        <v>34</v>
      </c>
      <c r="C5" s="5" t="n">
        <f aca="false">COUNTIFS(Data!$D$2:$D$241,A5,Data!$F$2:$F$241,"Win")</f>
        <v>12</v>
      </c>
    </row>
    <row r="6" customFormat="false" ht="15" hidden="false" customHeight="false" outlineLevel="0" collapsed="false">
      <c r="A6" s="5" t="s">
        <v>68</v>
      </c>
      <c r="B6" s="5" t="n">
        <f aca="false">COUNTIFS(Data!$D$2:$D$241,A6)</f>
        <v>27</v>
      </c>
      <c r="C6" s="5" t="n">
        <f aca="false">COUNTIFS(Data!$D$2:$D$241,A6,Data!$F$2:$F$241,"Win")</f>
        <v>18</v>
      </c>
    </row>
    <row r="7" customFormat="false" ht="15" hidden="false" customHeight="false" outlineLevel="0" collapsed="false">
      <c r="A7" s="5" t="s">
        <v>41</v>
      </c>
      <c r="B7" s="5" t="n">
        <f aca="false">COUNTIFS(Data!$D$2:$D$241,A7)</f>
        <v>39</v>
      </c>
      <c r="C7" s="5" t="n">
        <f aca="false">COUNTIFS(Data!$D$2:$D$241,A7,Data!$F$2:$F$241,"Win")</f>
        <v>17</v>
      </c>
    </row>
    <row r="8" customFormat="false" ht="15" hidden="false" customHeight="false" outlineLevel="0" collapsed="false">
      <c r="A8" s="5" t="s">
        <v>36</v>
      </c>
      <c r="B8" s="5" t="n">
        <f aca="false">COUNTIFS(Data!$D$2:$D$241,A8)</f>
        <v>29</v>
      </c>
      <c r="C8" s="5" t="n">
        <f aca="false">COUNTIFS(Data!$D$2:$D$241,A8,Data!$F$2:$F$241,"Win")</f>
        <v>16</v>
      </c>
    </row>
    <row r="9" customFormat="false" ht="15" hidden="false" customHeight="false" outlineLevel="0" collapsed="false">
      <c r="A9" s="5" t="s">
        <v>50</v>
      </c>
      <c r="B9" s="5" t="n">
        <f aca="false">COUNTIFS(Data!$D$2:$D$241,A9)</f>
        <v>28</v>
      </c>
      <c r="C9" s="5" t="n">
        <f aca="false">COUNTIFS(Data!$D$2:$D$241,A9,Data!$F$2:$F$241,"Win")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26"/>
    <col collapsed="false" customWidth="true" hidden="false" outlineLevel="0" max="4" min="3" style="0" width="17"/>
  </cols>
  <sheetData>
    <row r="1" customFormat="false" ht="15" hidden="false" customHeight="false" outlineLevel="0" collapsed="false">
      <c r="A1" s="7" t="s">
        <v>170</v>
      </c>
      <c r="B1" s="8" t="s">
        <v>171</v>
      </c>
      <c r="C1" s="9" t="s">
        <v>172</v>
      </c>
      <c r="D1" s="9" t="str">
        <f aca="false">IF(B1="All Venues","*",B1)</f>
        <v>*</v>
      </c>
    </row>
    <row r="3" customFormat="false" ht="15" hidden="false" customHeight="false" outlineLevel="0" collapsed="false">
      <c r="A3" s="3" t="s">
        <v>29</v>
      </c>
      <c r="B3" s="3" t="s">
        <v>173</v>
      </c>
      <c r="C3" s="3" t="s">
        <v>174</v>
      </c>
      <c r="D3" s="3" t="s">
        <v>175</v>
      </c>
    </row>
    <row r="4" customFormat="false" ht="15" hidden="false" customHeight="false" outlineLevel="0" collapsed="false">
      <c r="A4" s="5" t="s">
        <v>53</v>
      </c>
      <c r="B4" s="5" t="n">
        <f aca="false">COUNTIFS(Data!$D$2:$D$241,A4,Data!$E$2:$E$241,$D$1)</f>
        <v>32</v>
      </c>
      <c r="C4" s="5" t="n">
        <f aca="false">COUNTIFS(Data!$D$2:$D$241,A4,Data!$E$2:$E$241,$D$1,Data!$F$2:$F$241,"Win")</f>
        <v>17</v>
      </c>
      <c r="D4" s="10" t="n">
        <f aca="false">IF(B4=0,0,C4/B4)</f>
        <v>0.53125</v>
      </c>
    </row>
    <row r="5" customFormat="false" ht="15" hidden="false" customHeight="false" outlineLevel="0" collapsed="false">
      <c r="A5" s="5" t="s">
        <v>45</v>
      </c>
      <c r="B5" s="5" t="n">
        <f aca="false">COUNTIFS(Data!$D$2:$D$241,A5,Data!$E$2:$E$241,$D$1)</f>
        <v>29</v>
      </c>
      <c r="C5" s="5" t="n">
        <f aca="false">COUNTIFS(Data!$D$2:$D$241,A5,Data!$E$2:$E$241,$D$1,Data!$F$2:$F$241,"Win")</f>
        <v>19</v>
      </c>
      <c r="D5" s="10" t="n">
        <f aca="false">IF(B5=0,0,C5/B5)</f>
        <v>0.655172413793103</v>
      </c>
    </row>
    <row r="6" customFormat="false" ht="15" hidden="false" customHeight="false" outlineLevel="0" collapsed="false">
      <c r="A6" s="5" t="s">
        <v>39</v>
      </c>
      <c r="B6" s="5" t="n">
        <f aca="false">COUNTIFS(Data!$D$2:$D$241,A6,Data!$E$2:$E$241,$D$1)</f>
        <v>22</v>
      </c>
      <c r="C6" s="5" t="n">
        <f aca="false">COUNTIFS(Data!$D$2:$D$241,A6,Data!$E$2:$E$241,$D$1,Data!$F$2:$F$241,"Win")</f>
        <v>11</v>
      </c>
      <c r="D6" s="10" t="n">
        <f aca="false">IF(B6=0,0,C6/B6)</f>
        <v>0.5</v>
      </c>
    </row>
    <row r="7" customFormat="false" ht="15" hidden="false" customHeight="false" outlineLevel="0" collapsed="false">
      <c r="A7" s="5" t="s">
        <v>33</v>
      </c>
      <c r="B7" s="5" t="n">
        <f aca="false">COUNTIFS(Data!$D$2:$D$241,A7,Data!$E$2:$E$241,$D$1)</f>
        <v>34</v>
      </c>
      <c r="C7" s="5" t="n">
        <f aca="false">COUNTIFS(Data!$D$2:$D$241,A7,Data!$E$2:$E$241,$D$1,Data!$F$2:$F$241,"Win")</f>
        <v>12</v>
      </c>
      <c r="D7" s="10" t="n">
        <f aca="false">IF(B7=0,0,C7/B7)</f>
        <v>0.352941176470588</v>
      </c>
    </row>
    <row r="8" customFormat="false" ht="15" hidden="false" customHeight="false" outlineLevel="0" collapsed="false">
      <c r="A8" s="5" t="s">
        <v>68</v>
      </c>
      <c r="B8" s="5" t="n">
        <f aca="false">COUNTIFS(Data!$D$2:$D$241,A8,Data!$E$2:$E$241,$D$1)</f>
        <v>27</v>
      </c>
      <c r="C8" s="5" t="n">
        <f aca="false">COUNTIFS(Data!$D$2:$D$241,A8,Data!$E$2:$E$241,$D$1,Data!$F$2:$F$241,"Win")</f>
        <v>18</v>
      </c>
      <c r="D8" s="10" t="n">
        <f aca="false">IF(B8=0,0,C8/B8)</f>
        <v>0.666666666666667</v>
      </c>
    </row>
    <row r="9" customFormat="false" ht="15" hidden="false" customHeight="false" outlineLevel="0" collapsed="false">
      <c r="A9" s="5" t="s">
        <v>41</v>
      </c>
      <c r="B9" s="5" t="n">
        <f aca="false">COUNTIFS(Data!$D$2:$D$241,A9,Data!$E$2:$E$241,$D$1)</f>
        <v>39</v>
      </c>
      <c r="C9" s="5" t="n">
        <f aca="false">COUNTIFS(Data!$D$2:$D$241,A9,Data!$E$2:$E$241,$D$1,Data!$F$2:$F$241,"Win")</f>
        <v>17</v>
      </c>
      <c r="D9" s="10" t="n">
        <f aca="false">IF(B9=0,0,C9/B9)</f>
        <v>0.435897435897436</v>
      </c>
    </row>
    <row r="10" customFormat="false" ht="15" hidden="false" customHeight="false" outlineLevel="0" collapsed="false">
      <c r="A10" s="5" t="s">
        <v>36</v>
      </c>
      <c r="B10" s="5" t="n">
        <f aca="false">COUNTIFS(Data!$D$2:$D$241,A10,Data!$E$2:$E$241,$D$1)</f>
        <v>29</v>
      </c>
      <c r="C10" s="5" t="n">
        <f aca="false">COUNTIFS(Data!$D$2:$D$241,A10,Data!$E$2:$E$241,$D$1,Data!$F$2:$F$241,"Win")</f>
        <v>16</v>
      </c>
      <c r="D10" s="10" t="n">
        <f aca="false">IF(B10=0,0,C10/B10)</f>
        <v>0.551724137931035</v>
      </c>
    </row>
    <row r="11" customFormat="false" ht="15" hidden="false" customHeight="false" outlineLevel="0" collapsed="false">
      <c r="A11" s="5" t="s">
        <v>50</v>
      </c>
      <c r="B11" s="5" t="n">
        <f aca="false">COUNTIFS(Data!$D$2:$D$241,A11,Data!$E$2:$E$241,$D$1)</f>
        <v>28</v>
      </c>
      <c r="C11" s="5" t="n">
        <f aca="false">COUNTIFS(Data!$D$2:$D$241,A11,Data!$E$2:$E$241,$D$1,Data!$F$2:$F$241,"Win")</f>
        <v>10</v>
      </c>
      <c r="D11" s="10" t="n">
        <f aca="false">IF(B11=0,0,C11/B11)</f>
        <v>0.357142857142857</v>
      </c>
    </row>
  </sheetData>
  <dataValidations count="1">
    <dataValidation allowBlank="false" errorStyle="stop" operator="between" showDropDown="false" showErrorMessage="false" showInputMessage="false" sqref="B1" type="list">
      <formula1>"All Venues,Narendra Modi Stadium,Wankhede Stadium,MA Chidambaram Stadium,M Chinnaswamy Stadium,Eden Gardens,Arun Jaitley Stadium"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7" t="s">
        <v>176</v>
      </c>
      <c r="B1" s="11" t="n">
        <v>45717</v>
      </c>
      <c r="D1" s="9" t="s">
        <v>177</v>
      </c>
    </row>
    <row r="2" customFormat="false" ht="15" hidden="false" customHeight="false" outlineLevel="0" collapsed="false">
      <c r="A2" s="7" t="s">
        <v>178</v>
      </c>
      <c r="B2" s="11" t="n">
        <v>45838</v>
      </c>
    </row>
    <row r="4" customFormat="false" ht="15" hidden="false" customHeight="false" outlineLevel="0" collapsed="false">
      <c r="A4" s="3" t="s">
        <v>29</v>
      </c>
      <c r="B4" s="3" t="s">
        <v>179</v>
      </c>
      <c r="C4" s="3" t="s">
        <v>180</v>
      </c>
    </row>
    <row r="5" customFormat="false" ht="15" hidden="false" customHeight="false" outlineLevel="0" collapsed="false">
      <c r="A5" s="5" t="s">
        <v>53</v>
      </c>
      <c r="B5" s="5" t="n">
        <f aca="false">COUNTIFS(Data!$D$2:$D$241,A5,Data!$B$2:$B$241,"&gt;="&amp;$B$1,Data!$B$2:$B$241,"&lt;="&amp;$B$2)</f>
        <v>10</v>
      </c>
      <c r="C5" s="5" t="n">
        <f aca="false">COUNTIFS(Data!$D$2:$D$241,A5,Data!$B$2:$B$241,"&gt;="&amp;$B$1,Data!$B$2:$B$241,"&lt;="&amp;$B$2,Data!$F$2:$F$241,"Win")</f>
        <v>5</v>
      </c>
    </row>
    <row r="6" customFormat="false" ht="15" hidden="false" customHeight="false" outlineLevel="0" collapsed="false">
      <c r="A6" s="5" t="s">
        <v>45</v>
      </c>
      <c r="B6" s="5" t="n">
        <f aca="false">COUNTIFS(Data!$D$2:$D$241,A6,Data!$B$2:$B$241,"&gt;="&amp;$B$1,Data!$B$2:$B$241,"&lt;="&amp;$B$2)</f>
        <v>9</v>
      </c>
      <c r="C6" s="5" t="n">
        <f aca="false">COUNTIFS(Data!$D$2:$D$241,A6,Data!$B$2:$B$241,"&gt;="&amp;$B$1,Data!$B$2:$B$241,"&lt;="&amp;$B$2,Data!$F$2:$F$241,"Win")</f>
        <v>4</v>
      </c>
    </row>
    <row r="7" customFormat="false" ht="15" hidden="false" customHeight="false" outlineLevel="0" collapsed="false">
      <c r="A7" s="5" t="s">
        <v>39</v>
      </c>
      <c r="B7" s="5" t="n">
        <f aca="false">COUNTIFS(Data!$D$2:$D$241,A7,Data!$B$2:$B$241,"&gt;="&amp;$B$1,Data!$B$2:$B$241,"&lt;="&amp;$B$2)</f>
        <v>7</v>
      </c>
      <c r="C7" s="5" t="n">
        <f aca="false">COUNTIFS(Data!$D$2:$D$241,A7,Data!$B$2:$B$241,"&gt;="&amp;$B$1,Data!$B$2:$B$241,"&lt;="&amp;$B$2,Data!$F$2:$F$241,"Win")</f>
        <v>3</v>
      </c>
    </row>
    <row r="8" customFormat="false" ht="15" hidden="false" customHeight="false" outlineLevel="0" collapsed="false">
      <c r="A8" s="5" t="s">
        <v>33</v>
      </c>
      <c r="B8" s="5" t="n">
        <f aca="false">COUNTIFS(Data!$D$2:$D$241,A8,Data!$B$2:$B$241,"&gt;="&amp;$B$1,Data!$B$2:$B$241,"&lt;="&amp;$B$2)</f>
        <v>11</v>
      </c>
      <c r="C8" s="5" t="n">
        <f aca="false">COUNTIFS(Data!$D$2:$D$241,A8,Data!$B$2:$B$241,"&gt;="&amp;$B$1,Data!$B$2:$B$241,"&lt;="&amp;$B$2,Data!$F$2:$F$241,"Win")</f>
        <v>5</v>
      </c>
    </row>
    <row r="9" customFormat="false" ht="15" hidden="false" customHeight="false" outlineLevel="0" collapsed="false">
      <c r="A9" s="5" t="s">
        <v>68</v>
      </c>
      <c r="B9" s="5" t="n">
        <f aca="false">COUNTIFS(Data!$D$2:$D$241,A9,Data!$B$2:$B$241,"&gt;="&amp;$B$1,Data!$B$2:$B$241,"&lt;="&amp;$B$2)</f>
        <v>13</v>
      </c>
      <c r="C9" s="5" t="n">
        <f aca="false">COUNTIFS(Data!$D$2:$D$241,A9,Data!$B$2:$B$241,"&gt;="&amp;$B$1,Data!$B$2:$B$241,"&lt;="&amp;$B$2,Data!$F$2:$F$241,"Win")</f>
        <v>8</v>
      </c>
    </row>
    <row r="10" customFormat="false" ht="15" hidden="false" customHeight="false" outlineLevel="0" collapsed="false">
      <c r="A10" s="5" t="s">
        <v>41</v>
      </c>
      <c r="B10" s="5" t="n">
        <f aca="false">COUNTIFS(Data!$D$2:$D$241,A10,Data!$B$2:$B$241,"&gt;="&amp;$B$1,Data!$B$2:$B$241,"&lt;="&amp;$B$2)</f>
        <v>14</v>
      </c>
      <c r="C10" s="5" t="n">
        <f aca="false">COUNTIFS(Data!$D$2:$D$241,A10,Data!$B$2:$B$241,"&gt;="&amp;$B$1,Data!$B$2:$B$241,"&lt;="&amp;$B$2,Data!$F$2:$F$241,"Win")</f>
        <v>6</v>
      </c>
    </row>
    <row r="11" customFormat="false" ht="15" hidden="false" customHeight="false" outlineLevel="0" collapsed="false">
      <c r="A11" s="5" t="s">
        <v>36</v>
      </c>
      <c r="B11" s="5" t="n">
        <f aca="false">COUNTIFS(Data!$D$2:$D$241,A11,Data!$B$2:$B$241,"&gt;="&amp;$B$1,Data!$B$2:$B$241,"&lt;="&amp;$B$2)</f>
        <v>8</v>
      </c>
      <c r="C11" s="5" t="n">
        <f aca="false">COUNTIFS(Data!$D$2:$D$241,A11,Data!$B$2:$B$241,"&gt;="&amp;$B$1,Data!$B$2:$B$241,"&lt;="&amp;$B$2,Data!$F$2:$F$241,"Win")</f>
        <v>6</v>
      </c>
    </row>
    <row r="12" customFormat="false" ht="15" hidden="false" customHeight="false" outlineLevel="0" collapsed="false">
      <c r="A12" s="5" t="s">
        <v>50</v>
      </c>
      <c r="B12" s="5" t="n">
        <f aca="false">COUNTIFS(Data!$D$2:$D$241,A12,Data!$B$2:$B$241,"&gt;="&amp;$B$1,Data!$B$2:$B$241,"&lt;="&amp;$B$2)</f>
        <v>8</v>
      </c>
      <c r="C12" s="5" t="n">
        <f aca="false">COUNTIFS(Data!$D$2:$D$241,A12,Data!$B$2:$B$241,"&gt;="&amp;$B$1,Data!$B$2:$B$241,"&lt;="&amp;$B$2,Data!$F$2:$F$241,"Win")</f>
        <v>3</v>
      </c>
    </row>
  </sheetData>
  <dataValidations count="1">
    <dataValidation allowBlank="false" errorStyle="stop" operator="between" showDropDown="false" showErrorMessage="false" showInputMessage="false" sqref="B1:B2" type="date">
      <formula1>DATE(2024,1,1)</formula1>
      <formula2>DATE(2026,12,31)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1"/>
  </cols>
  <sheetData>
    <row r="1" customFormat="false" ht="15" hidden="false" customHeight="true" outlineLevel="0" collapsed="false">
      <c r="B1" s="12" t="s">
        <v>181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15" hidden="false" customHeight="false" outlineLevel="0" collapsed="false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customFormat="false" ht="15" hidden="false" customHeight="false" outlineLevel="0" collapsed="false">
      <c r="B4" s="7" t="s">
        <v>182</v>
      </c>
      <c r="C4" s="13" t="s">
        <v>171</v>
      </c>
      <c r="D4" s="13"/>
      <c r="E4" s="13"/>
      <c r="G4" s="7" t="s">
        <v>183</v>
      </c>
      <c r="H4" s="11" t="n">
        <v>45352</v>
      </c>
      <c r="J4" s="7" t="s">
        <v>184</v>
      </c>
      <c r="K4" s="11" t="n">
        <v>46203</v>
      </c>
      <c r="M4" s="14" t="str">
        <f aca="false">IF(C4="All Venues","*",C4)</f>
        <v>*</v>
      </c>
    </row>
    <row r="23" customFormat="false" ht="15" hidden="false" customHeight="false" outlineLevel="0" collapsed="false">
      <c r="B23" s="7" t="s">
        <v>185</v>
      </c>
      <c r="F23" s="7" t="s">
        <v>186</v>
      </c>
    </row>
    <row r="24" customFormat="false" ht="15" hidden="false" customHeight="false" outlineLevel="0" collapsed="false">
      <c r="B24" s="3" t="s">
        <v>29</v>
      </c>
      <c r="C24" s="3" t="s">
        <v>169</v>
      </c>
      <c r="D24" s="3" t="s">
        <v>187</v>
      </c>
      <c r="F24" s="3" t="s">
        <v>188</v>
      </c>
      <c r="G24" s="3" t="s">
        <v>187</v>
      </c>
    </row>
    <row r="25" customFormat="false" ht="15" hidden="false" customHeight="false" outlineLevel="0" collapsed="false">
      <c r="B25" s="5" t="s">
        <v>53</v>
      </c>
      <c r="C25" s="5" t="n">
        <f aca="false">COUNTIFS(Data!$D$2:$D$241,B25,Data!$F$2:$F$241,"Win",Data!$E$2:$E$241,$M$4,Data!$B$2:$B$241,"&gt;="&amp;$H$4,Data!$B$2:$B$241,"&lt;="&amp;$K$4)</f>
        <v>17</v>
      </c>
      <c r="D25" s="5" t="n">
        <f aca="false">COUNTIFS(Data!$D$2:$D$241,B25,Data!$E$2:$E$241,$M$4,Data!$B$2:$B$241,"&gt;="&amp;$H$4,Data!$B$2:$B$241,"&lt;="&amp;$K$4)</f>
        <v>32</v>
      </c>
      <c r="F25" s="15" t="n">
        <v>45352</v>
      </c>
      <c r="G25" s="5" t="n">
        <f aca="false">COUNTIFS(Data!$B$2:$B$241,"&gt;="&amp;F25,Data!$B$2:$B$241,"&lt;="&amp;EOMONTH(F25,0),Data!$E$2:$E$241,$M$4,Data!$B$2:$B$241,"&gt;="&amp;$H$4,Data!$B$2:$B$241,"&lt;="&amp;$K$4)/2</f>
        <v>5</v>
      </c>
    </row>
    <row r="26" customFormat="false" ht="15" hidden="false" customHeight="false" outlineLevel="0" collapsed="false">
      <c r="B26" s="5" t="s">
        <v>45</v>
      </c>
      <c r="C26" s="5" t="n">
        <f aca="false">COUNTIFS(Data!$D$2:$D$241,B26,Data!$F$2:$F$241,"Win",Data!$E$2:$E$241,$M$4,Data!$B$2:$B$241,"&gt;="&amp;$H$4,Data!$B$2:$B$241,"&lt;="&amp;$K$4)</f>
        <v>19</v>
      </c>
      <c r="D26" s="5" t="n">
        <f aca="false">COUNTIFS(Data!$D$2:$D$241,B26,Data!$E$2:$E$241,$M$4,Data!$B$2:$B$241,"&gt;="&amp;$H$4,Data!$B$2:$B$241,"&lt;="&amp;$K$4)</f>
        <v>29</v>
      </c>
      <c r="F26" s="15" t="n">
        <v>45383</v>
      </c>
      <c r="G26" s="5" t="n">
        <f aca="false">COUNTIFS(Data!$B$2:$B$241,"&gt;="&amp;F26,Data!$B$2:$B$241,"&lt;="&amp;EOMONTH(F26,0),Data!$E$2:$E$241,$M$4,Data!$B$2:$B$241,"&gt;="&amp;$H$4,Data!$B$2:$B$241,"&lt;="&amp;$K$4)/2</f>
        <v>18</v>
      </c>
    </row>
    <row r="27" customFormat="false" ht="15" hidden="false" customHeight="false" outlineLevel="0" collapsed="false">
      <c r="B27" s="5" t="s">
        <v>39</v>
      </c>
      <c r="C27" s="5" t="n">
        <f aca="false">COUNTIFS(Data!$D$2:$D$241,B27,Data!$F$2:$F$241,"Win",Data!$E$2:$E$241,$M$4,Data!$B$2:$B$241,"&gt;="&amp;$H$4,Data!$B$2:$B$241,"&lt;="&amp;$K$4)</f>
        <v>11</v>
      </c>
      <c r="D27" s="5" t="n">
        <f aca="false">COUNTIFS(Data!$D$2:$D$241,B27,Data!$E$2:$E$241,$M$4,Data!$B$2:$B$241,"&gt;="&amp;$H$4,Data!$B$2:$B$241,"&lt;="&amp;$K$4)</f>
        <v>22</v>
      </c>
      <c r="F27" s="15" t="n">
        <v>45413</v>
      </c>
      <c r="G27" s="5" t="n">
        <f aca="false">COUNTIFS(Data!$B$2:$B$241,"&gt;="&amp;F27,Data!$B$2:$B$241,"&lt;="&amp;EOMONTH(F27,0),Data!$E$2:$E$241,$M$4,Data!$B$2:$B$241,"&gt;="&amp;$H$4,Data!$B$2:$B$241,"&lt;="&amp;$K$4)/2</f>
        <v>17</v>
      </c>
    </row>
    <row r="28" customFormat="false" ht="15" hidden="false" customHeight="false" outlineLevel="0" collapsed="false">
      <c r="B28" s="5" t="s">
        <v>33</v>
      </c>
      <c r="C28" s="5" t="n">
        <f aca="false">COUNTIFS(Data!$D$2:$D$241,B28,Data!$F$2:$F$241,"Win",Data!$E$2:$E$241,$M$4,Data!$B$2:$B$241,"&gt;="&amp;$H$4,Data!$B$2:$B$241,"&lt;="&amp;$K$4)</f>
        <v>12</v>
      </c>
      <c r="D28" s="5" t="n">
        <f aca="false">COUNTIFS(Data!$D$2:$D$241,B28,Data!$E$2:$E$241,$M$4,Data!$B$2:$B$241,"&gt;="&amp;$H$4,Data!$B$2:$B$241,"&lt;="&amp;$K$4)</f>
        <v>34</v>
      </c>
      <c r="F28" s="15" t="n">
        <v>45444</v>
      </c>
      <c r="G28" s="5" t="n">
        <f aca="false">COUNTIFS(Data!$B$2:$B$241,"&gt;="&amp;F28,Data!$B$2:$B$241,"&lt;="&amp;EOMONTH(F28,0),Data!$E$2:$E$241,$M$4,Data!$B$2:$B$241,"&gt;="&amp;$H$4,Data!$B$2:$B$241,"&lt;="&amp;$K$4)/2</f>
        <v>0</v>
      </c>
    </row>
    <row r="29" customFormat="false" ht="15" hidden="false" customHeight="false" outlineLevel="0" collapsed="false">
      <c r="B29" s="5" t="s">
        <v>68</v>
      </c>
      <c r="C29" s="5" t="n">
        <f aca="false">COUNTIFS(Data!$D$2:$D$241,B29,Data!$F$2:$F$241,"Win",Data!$E$2:$E$241,$M$4,Data!$B$2:$B$241,"&gt;="&amp;$H$4,Data!$B$2:$B$241,"&lt;="&amp;$K$4)</f>
        <v>18</v>
      </c>
      <c r="D29" s="5" t="n">
        <f aca="false">COUNTIFS(Data!$D$2:$D$241,B29,Data!$E$2:$E$241,$M$4,Data!$B$2:$B$241,"&gt;="&amp;$H$4,Data!$B$2:$B$241,"&lt;="&amp;$K$4)</f>
        <v>27</v>
      </c>
      <c r="F29" s="15" t="n">
        <v>45717</v>
      </c>
      <c r="G29" s="5" t="n">
        <f aca="false">COUNTIFS(Data!$B$2:$B$241,"&gt;="&amp;F29,Data!$B$2:$B$241,"&lt;="&amp;EOMONTH(F29,0),Data!$E$2:$E$241,$M$4,Data!$B$2:$B$241,"&gt;="&amp;$H$4,Data!$B$2:$B$241,"&lt;="&amp;$K$4)/2</f>
        <v>6</v>
      </c>
    </row>
    <row r="30" customFormat="false" ht="15" hidden="false" customHeight="false" outlineLevel="0" collapsed="false">
      <c r="B30" s="5" t="s">
        <v>41</v>
      </c>
      <c r="C30" s="5" t="n">
        <f aca="false">COUNTIFS(Data!$D$2:$D$241,B30,Data!$F$2:$F$241,"Win",Data!$E$2:$E$241,$M$4,Data!$B$2:$B$241,"&gt;="&amp;$H$4,Data!$B$2:$B$241,"&lt;="&amp;$K$4)</f>
        <v>17</v>
      </c>
      <c r="D30" s="5" t="n">
        <f aca="false">COUNTIFS(Data!$D$2:$D$241,B30,Data!$E$2:$E$241,$M$4,Data!$B$2:$B$241,"&gt;="&amp;$H$4,Data!$B$2:$B$241,"&lt;="&amp;$K$4)</f>
        <v>39</v>
      </c>
      <c r="F30" s="15" t="n">
        <v>45748</v>
      </c>
      <c r="G30" s="5" t="n">
        <f aca="false">COUNTIFS(Data!$B$2:$B$241,"&gt;="&amp;F30,Data!$B$2:$B$241,"&lt;="&amp;EOMONTH(F30,0),Data!$E$2:$E$241,$M$4,Data!$B$2:$B$241,"&gt;="&amp;$H$4,Data!$B$2:$B$241,"&lt;="&amp;$K$4)/2</f>
        <v>14</v>
      </c>
    </row>
    <row r="31" customFormat="false" ht="15" hidden="false" customHeight="false" outlineLevel="0" collapsed="false">
      <c r="B31" s="5" t="s">
        <v>36</v>
      </c>
      <c r="C31" s="5" t="n">
        <f aca="false">COUNTIFS(Data!$D$2:$D$241,B31,Data!$F$2:$F$241,"Win",Data!$E$2:$E$241,$M$4,Data!$B$2:$B$241,"&gt;="&amp;$H$4,Data!$B$2:$B$241,"&lt;="&amp;$K$4)</f>
        <v>16</v>
      </c>
      <c r="D31" s="5" t="n">
        <f aca="false">COUNTIFS(Data!$D$2:$D$241,B31,Data!$E$2:$E$241,$M$4,Data!$B$2:$B$241,"&gt;="&amp;$H$4,Data!$B$2:$B$241,"&lt;="&amp;$K$4)</f>
        <v>29</v>
      </c>
      <c r="F31" s="15" t="n">
        <v>45778</v>
      </c>
      <c r="G31" s="5" t="n">
        <f aca="false">COUNTIFS(Data!$B$2:$B$241,"&gt;="&amp;F31,Data!$B$2:$B$241,"&lt;="&amp;EOMONTH(F31,0),Data!$E$2:$E$241,$M$4,Data!$B$2:$B$241,"&gt;="&amp;$H$4,Data!$B$2:$B$241,"&lt;="&amp;$K$4)/2</f>
        <v>20</v>
      </c>
    </row>
    <row r="32" customFormat="false" ht="15" hidden="false" customHeight="false" outlineLevel="0" collapsed="false">
      <c r="B32" s="5" t="s">
        <v>50</v>
      </c>
      <c r="C32" s="5" t="n">
        <f aca="false">COUNTIFS(Data!$D$2:$D$241,B32,Data!$F$2:$F$241,"Win",Data!$E$2:$E$241,$M$4,Data!$B$2:$B$241,"&gt;="&amp;$H$4,Data!$B$2:$B$241,"&lt;="&amp;$K$4)</f>
        <v>10</v>
      </c>
      <c r="D32" s="5" t="n">
        <f aca="false">COUNTIFS(Data!$D$2:$D$241,B32,Data!$E$2:$E$241,$M$4,Data!$B$2:$B$241,"&gt;="&amp;$H$4,Data!$B$2:$B$241,"&lt;="&amp;$K$4)</f>
        <v>28</v>
      </c>
      <c r="F32" s="15" t="n">
        <v>45809</v>
      </c>
      <c r="G32" s="5" t="n">
        <f aca="false">COUNTIFS(Data!$B$2:$B$241,"&gt;="&amp;F32,Data!$B$2:$B$241,"&lt;="&amp;EOMONTH(F32,0),Data!$E$2:$E$241,$M$4,Data!$B$2:$B$241,"&gt;="&amp;$H$4,Data!$B$2:$B$241,"&lt;="&amp;$K$4)/2</f>
        <v>0</v>
      </c>
    </row>
    <row r="33" customFormat="false" ht="15" hidden="false" customHeight="false" outlineLevel="0" collapsed="false">
      <c r="F33" s="15" t="n">
        <v>46082</v>
      </c>
      <c r="G33" s="5" t="n">
        <f aca="false">COUNTIFS(Data!$B$2:$B$241,"&gt;="&amp;F33,Data!$B$2:$B$241,"&lt;="&amp;EOMONTH(F33,0),Data!$E$2:$E$241,$M$4,Data!$B$2:$B$241,"&gt;="&amp;$H$4,Data!$B$2:$B$241,"&lt;="&amp;$K$4)/2</f>
        <v>5</v>
      </c>
    </row>
    <row r="34" customFormat="false" ht="15" hidden="false" customHeight="false" outlineLevel="0" collapsed="false">
      <c r="F34" s="15" t="n">
        <v>46113</v>
      </c>
      <c r="G34" s="5" t="n">
        <f aca="false">COUNTIFS(Data!$B$2:$B$241,"&gt;="&amp;F34,Data!$B$2:$B$241,"&lt;="&amp;EOMONTH(F34,0),Data!$E$2:$E$241,$M$4,Data!$B$2:$B$241,"&gt;="&amp;$H$4,Data!$B$2:$B$241,"&lt;="&amp;$K$4)/2</f>
        <v>13</v>
      </c>
    </row>
    <row r="35" customFormat="false" ht="15" hidden="false" customHeight="false" outlineLevel="0" collapsed="false">
      <c r="F35" s="15" t="n">
        <v>46143</v>
      </c>
      <c r="G35" s="5" t="n">
        <f aca="false">COUNTIFS(Data!$B$2:$B$241,"&gt;="&amp;F35,Data!$B$2:$B$241,"&lt;="&amp;EOMONTH(F35,0),Data!$E$2:$E$241,$M$4,Data!$B$2:$B$241,"&gt;="&amp;$H$4,Data!$B$2:$B$241,"&lt;="&amp;$K$4)/2</f>
        <v>22</v>
      </c>
    </row>
    <row r="36" customFormat="false" ht="15" hidden="false" customHeight="false" outlineLevel="0" collapsed="false">
      <c r="F36" s="15" t="n">
        <v>46174</v>
      </c>
      <c r="G36" s="5" t="n">
        <f aca="false">COUNTIFS(Data!$B$2:$B$241,"&gt;="&amp;F36,Data!$B$2:$B$241,"&lt;="&amp;EOMONTH(F36,0),Data!$E$2:$E$241,$M$4,Data!$B$2:$B$241,"&gt;="&amp;$H$4,Data!$B$2:$B$241,"&lt;="&amp;$K$4)/2</f>
        <v>0</v>
      </c>
    </row>
  </sheetData>
  <mergeCells count="2">
    <mergeCell ref="B1:N2"/>
    <mergeCell ref="C4:E4"/>
  </mergeCells>
  <dataValidations count="1">
    <dataValidation allowBlank="false" errorStyle="stop" operator="between" showDropDown="false" showErrorMessage="false" showInputMessage="false" sqref="C4" type="list">
      <formula1>"All Venues,Narendra Modi Stadium,Wankhede Stadium,MA Chidambaram Stadium,M Chinnaswamy Stadium,Eden Gardens,Arun Jaitley Stadium"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2" style="0" width="17"/>
  </cols>
  <sheetData>
    <row r="1" customFormat="false" ht="15" hidden="false" customHeight="false" outlineLevel="0" collapsed="false">
      <c r="A1" s="3" t="s">
        <v>29</v>
      </c>
      <c r="B1" s="3" t="s">
        <v>189</v>
      </c>
      <c r="C1" s="3" t="s">
        <v>190</v>
      </c>
      <c r="D1" s="3" t="s">
        <v>191</v>
      </c>
    </row>
    <row r="2" customFormat="false" ht="15" hidden="false" customHeight="false" outlineLevel="0" collapsed="false">
      <c r="A2" s="5" t="s">
        <v>53</v>
      </c>
      <c r="B2" s="16" t="n">
        <f aca="false">COUNTIFS(Data!$D$2:$D$241,$A2,Data!$C$2:$C$241,2024,Data!$F$2:$F$241,"Win")</f>
        <v>7</v>
      </c>
      <c r="C2" s="16" t="n">
        <f aca="false">COUNTIFS(Data!$D$2:$D$241,$A2,Data!$C$2:$C$241,2025,Data!$F$2:$F$241,"Win")</f>
        <v>5</v>
      </c>
      <c r="D2" s="16" t="n">
        <f aca="false">COUNTIFS(Data!$D$2:$D$241,$A2,Data!$C$2:$C$241,2026,Data!$F$2:$F$241,"Win")</f>
        <v>5</v>
      </c>
    </row>
    <row r="3" customFormat="false" ht="15" hidden="false" customHeight="false" outlineLevel="0" collapsed="false">
      <c r="A3" s="5" t="s">
        <v>45</v>
      </c>
      <c r="B3" s="16" t="n">
        <f aca="false">COUNTIFS(Data!$D$2:$D$241,$A3,Data!$C$2:$C$241,2024,Data!$F$2:$F$241,"Win")</f>
        <v>8</v>
      </c>
      <c r="C3" s="16" t="n">
        <f aca="false">COUNTIFS(Data!$D$2:$D$241,$A3,Data!$C$2:$C$241,2025,Data!$F$2:$F$241,"Win")</f>
        <v>4</v>
      </c>
      <c r="D3" s="16" t="n">
        <f aca="false">COUNTIFS(Data!$D$2:$D$241,$A3,Data!$C$2:$C$241,2026,Data!$F$2:$F$241,"Win")</f>
        <v>7</v>
      </c>
    </row>
    <row r="4" customFormat="false" ht="15" hidden="false" customHeight="false" outlineLevel="0" collapsed="false">
      <c r="A4" s="5" t="s">
        <v>39</v>
      </c>
      <c r="B4" s="16" t="n">
        <f aca="false">COUNTIFS(Data!$D$2:$D$241,$A4,Data!$C$2:$C$241,2024,Data!$F$2:$F$241,"Win")</f>
        <v>4</v>
      </c>
      <c r="C4" s="16" t="n">
        <f aca="false">COUNTIFS(Data!$D$2:$D$241,$A4,Data!$C$2:$C$241,2025,Data!$F$2:$F$241,"Win")</f>
        <v>3</v>
      </c>
      <c r="D4" s="16" t="n">
        <f aca="false">COUNTIFS(Data!$D$2:$D$241,$A4,Data!$C$2:$C$241,2026,Data!$F$2:$F$241,"Win")</f>
        <v>4</v>
      </c>
    </row>
    <row r="5" customFormat="false" ht="15" hidden="false" customHeight="false" outlineLevel="0" collapsed="false">
      <c r="A5" s="5" t="s">
        <v>33</v>
      </c>
      <c r="B5" s="16" t="n">
        <f aca="false">COUNTIFS(Data!$D$2:$D$241,$A5,Data!$C$2:$C$241,2024,Data!$F$2:$F$241,"Win")</f>
        <v>3</v>
      </c>
      <c r="C5" s="16" t="n">
        <f aca="false">COUNTIFS(Data!$D$2:$D$241,$A5,Data!$C$2:$C$241,2025,Data!$F$2:$F$241,"Win")</f>
        <v>5</v>
      </c>
      <c r="D5" s="16" t="n">
        <f aca="false">COUNTIFS(Data!$D$2:$D$241,$A5,Data!$C$2:$C$241,2026,Data!$F$2:$F$241,"Win")</f>
        <v>4</v>
      </c>
    </row>
    <row r="6" customFormat="false" ht="15" hidden="false" customHeight="false" outlineLevel="0" collapsed="false">
      <c r="A6" s="5" t="s">
        <v>68</v>
      </c>
      <c r="B6" s="16" t="n">
        <f aca="false">COUNTIFS(Data!$D$2:$D$241,$A6,Data!$C$2:$C$241,2024,Data!$F$2:$F$241,"Win")</f>
        <v>4</v>
      </c>
      <c r="C6" s="16" t="n">
        <f aca="false">COUNTIFS(Data!$D$2:$D$241,$A6,Data!$C$2:$C$241,2025,Data!$F$2:$F$241,"Win")</f>
        <v>8</v>
      </c>
      <c r="D6" s="16" t="n">
        <f aca="false">COUNTIFS(Data!$D$2:$D$241,$A6,Data!$C$2:$C$241,2026,Data!$F$2:$F$241,"Win")</f>
        <v>6</v>
      </c>
    </row>
    <row r="7" customFormat="false" ht="15" hidden="false" customHeight="false" outlineLevel="0" collapsed="false">
      <c r="A7" s="5" t="s">
        <v>41</v>
      </c>
      <c r="B7" s="16" t="n">
        <f aca="false">COUNTIFS(Data!$D$2:$D$241,$A7,Data!$C$2:$C$241,2024,Data!$F$2:$F$241,"Win")</f>
        <v>6</v>
      </c>
      <c r="C7" s="16" t="n">
        <f aca="false">COUNTIFS(Data!$D$2:$D$241,$A7,Data!$C$2:$C$241,2025,Data!$F$2:$F$241,"Win")</f>
        <v>6</v>
      </c>
      <c r="D7" s="16" t="n">
        <f aca="false">COUNTIFS(Data!$D$2:$D$241,$A7,Data!$C$2:$C$241,2026,Data!$F$2:$F$241,"Win")</f>
        <v>5</v>
      </c>
    </row>
    <row r="8" customFormat="false" ht="15" hidden="false" customHeight="false" outlineLevel="0" collapsed="false">
      <c r="A8" s="5" t="s">
        <v>36</v>
      </c>
      <c r="B8" s="16" t="n">
        <f aca="false">COUNTIFS(Data!$D$2:$D$241,$A8,Data!$C$2:$C$241,2024,Data!$F$2:$F$241,"Win")</f>
        <v>7</v>
      </c>
      <c r="C8" s="16" t="n">
        <f aca="false">COUNTIFS(Data!$D$2:$D$241,$A8,Data!$C$2:$C$241,2025,Data!$F$2:$F$241,"Win")</f>
        <v>6</v>
      </c>
      <c r="D8" s="16" t="n">
        <f aca="false">COUNTIFS(Data!$D$2:$D$241,$A8,Data!$C$2:$C$241,2026,Data!$F$2:$F$241,"Win")</f>
        <v>3</v>
      </c>
    </row>
    <row r="9" customFormat="false" ht="15" hidden="false" customHeight="false" outlineLevel="0" collapsed="false">
      <c r="A9" s="5" t="s">
        <v>50</v>
      </c>
      <c r="B9" s="16" t="n">
        <f aca="false">COUNTIFS(Data!$D$2:$D$241,$A9,Data!$C$2:$C$241,2024,Data!$F$2:$F$241,"Win")</f>
        <v>1</v>
      </c>
      <c r="C9" s="16" t="n">
        <f aca="false">COUNTIFS(Data!$D$2:$D$241,$A9,Data!$C$2:$C$241,2025,Data!$F$2:$F$241,"Win")</f>
        <v>3</v>
      </c>
      <c r="D9" s="16" t="n">
        <f aca="false">COUNTIFS(Data!$D$2:$D$241,$A9,Data!$C$2:$C$241,2026,Data!$F$2:$F$241,"Win")</f>
        <v>6</v>
      </c>
    </row>
    <row r="11" customFormat="false" ht="15" hidden="false" customHeight="false" outlineLevel="0" collapsed="false">
      <c r="A11" s="9" t="s">
        <v>192</v>
      </c>
    </row>
  </sheetData>
  <conditionalFormatting sqref="B2:D9">
    <cfRule type="expression" priority="2" aboveAverage="0" equalAverage="0" bottom="0" percent="0" rank="0" text="" dxfId="0">
      <formula>B2=MAX(B$2:B$9)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17" t="s">
        <v>193</v>
      </c>
    </row>
    <row r="4" customFormat="false" ht="12.8" hidden="false" customHeight="false" outlineLevel="0" collapsed="false">
      <c r="A4" s="18" t="s">
        <v>29</v>
      </c>
      <c r="B4" s="19" t="s">
        <v>194</v>
      </c>
    </row>
    <row r="5" customFormat="false" ht="12.8" hidden="false" customHeight="false" outlineLevel="0" collapsed="false">
      <c r="A5" s="20" t="s">
        <v>53</v>
      </c>
      <c r="B5" s="21" t="n">
        <v>32</v>
      </c>
    </row>
    <row r="6" customFormat="false" ht="12.8" hidden="false" customHeight="false" outlineLevel="0" collapsed="false">
      <c r="A6" s="22" t="s">
        <v>41</v>
      </c>
      <c r="B6" s="23" t="n">
        <v>39</v>
      </c>
    </row>
    <row r="7" customFormat="false" ht="12.8" hidden="false" customHeight="false" outlineLevel="0" collapsed="false">
      <c r="A7" s="22" t="s">
        <v>39</v>
      </c>
      <c r="B7" s="23" t="n">
        <v>22</v>
      </c>
    </row>
    <row r="8" customFormat="false" ht="12.8" hidden="false" customHeight="false" outlineLevel="0" collapsed="false">
      <c r="A8" s="22" t="s">
        <v>68</v>
      </c>
      <c r="B8" s="23" t="n">
        <v>27</v>
      </c>
    </row>
    <row r="9" customFormat="false" ht="12.8" hidden="false" customHeight="false" outlineLevel="0" collapsed="false">
      <c r="A9" s="22" t="s">
        <v>45</v>
      </c>
      <c r="B9" s="23" t="n">
        <v>29</v>
      </c>
    </row>
    <row r="10" customFormat="false" ht="12.8" hidden="false" customHeight="false" outlineLevel="0" collapsed="false">
      <c r="A10" s="22" t="s">
        <v>36</v>
      </c>
      <c r="B10" s="23" t="n">
        <v>29</v>
      </c>
    </row>
    <row r="11" customFormat="false" ht="12.8" hidden="false" customHeight="false" outlineLevel="0" collapsed="false">
      <c r="A11" s="22" t="s">
        <v>33</v>
      </c>
      <c r="B11" s="23" t="n">
        <v>34</v>
      </c>
    </row>
    <row r="12" customFormat="false" ht="12.8" hidden="false" customHeight="false" outlineLevel="0" collapsed="false">
      <c r="A12" s="22" t="s">
        <v>50</v>
      </c>
      <c r="B12" s="24" t="n">
        <v>28</v>
      </c>
    </row>
    <row r="13" customFormat="false" ht="12.8" hidden="false" customHeight="false" outlineLevel="0" collapsed="false">
      <c r="A13" s="25" t="s">
        <v>195</v>
      </c>
      <c r="B13" s="26" t="n">
        <v>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2026-10-03T09:17:51Z</dcterms:created>
  <dc:creator>openpyxl</dc:creator>
  <dc:description/>
  <dc:language>en-US</dc:language>
  <cp:lastModifiedBy/>
  <dcterms:modified xsi:type="dcterms:W3CDTF">2026-10-03T09:17:52Z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