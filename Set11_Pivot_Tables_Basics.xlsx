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sk Notes" sheetId="1" state="visible" r:id="rId3"/>
    <sheet name="Data" sheetId="2" state="visible" r:id="rId4"/>
    <sheet name="T1_Pivot_City" sheetId="3" state="visible" r:id="rId5"/>
    <sheet name="T2_Pivot_Rest_City" sheetId="4" state="visible" r:id="rId6"/>
    <sheet name="T3_Pivot_Partner_Count" sheetId="5" state="visible" r:id="rId7"/>
    <sheet name="T4_Pivot_Filter" sheetId="6" state="visible" r:id="rId8"/>
  </sheet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<sst xmlns="http://schemas.openxmlformats.org/spreadsheetml/2006/main" count="330" uniqueCount="114">
  <si>
    <t xml:space="preserve">Set 11 - Pivot Table Basics (real PivotTables)</t>
  </si>
  <si>
    <t xml:space="preserve">Each task has its own worksheet (named in the 'Worksheet' column). Sample data is synthetic and created for this assignment.</t>
  </si>
  <si>
    <t xml:space="preserve">Task</t>
  </si>
  <si>
    <t xml:space="preserve">Question (summary)</t>
  </si>
  <si>
    <t xml:space="preserve">Worksheet</t>
  </si>
  <si>
    <t xml:space="preserve">What was done / answer / explanation</t>
  </si>
  <si>
    <t xml:space="preserve">1</t>
  </si>
  <si>
    <t xml:space="preserve">Pivot Table: total Amount by City.</t>
  </si>
  <si>
    <t xml:space="preserve">T1_Pivot_City</t>
  </si>
  <si>
    <t xml:space="preserve">Insert &gt; PivotTable (source Data!A1:E61); City in Rows, Amount in Values (Sum). Grand total = 44,750. Ahmedabad = 6,080. The formula cross-check on the Data sheet (H2:I9) matches the pivot.</t>
  </si>
  <si>
    <t xml:space="preserve">2</t>
  </si>
  <si>
    <t xml:space="preserve">Restaurant in Rows, City in Columns, SUM of Amount.</t>
  </si>
  <si>
    <t xml:space="preserve">T2_Pivot_Rest_City</t>
  </si>
  <si>
    <t xml:space="preserve">Same pivot, Restaurant dragged to Rows and City to Columns; each cell is the SUM of Amount for that restaurant-city combination (blank = no orders).</t>
  </si>
  <si>
    <t xml:space="preserve">3</t>
  </si>
  <si>
    <t xml:space="preserve">COUNT of orders by Delivery Partner.</t>
  </si>
  <si>
    <t xml:space="preserve">T3_Pivot_Partner_Count</t>
  </si>
  <si>
    <t xml:space="preserve">Delivery Partner in Rows and Order ID in Values with 'Count' (Value Field Settings &gt; Count). Orders per partner: Dev 11, Imran 12, Kiran 9, Neha 9, Rohan 11, Sanjay 8 (total 60).</t>
  </si>
  <si>
    <t xml:space="preserve">4</t>
  </si>
  <si>
    <t xml:space="preserve">Add a City filter (e.g. Ahmedabad) and observe changes.</t>
  </si>
  <si>
    <t xml:space="preserve">T4_Pivot_Filter</t>
  </si>
  <si>
    <t xml:space="preserve">City placed in the Filters area and set to Ahmedabad. The pivot then shows only the 9 Ahmedabad orders: total 6,080 instead of 44,750; every restaurant row recalculates and restaurants with no Ahmedabad orders disappear. Pick (All) to restore.</t>
  </si>
  <si>
    <t xml:space="preserve">Order ID</t>
  </si>
  <si>
    <t xml:space="preserve">Restaurant</t>
  </si>
  <si>
    <t xml:space="preserve">City</t>
  </si>
  <si>
    <t xml:space="preserve">Delivery Partner</t>
  </si>
  <si>
    <t xml:space="preserve">Amount</t>
  </si>
  <si>
    <t xml:space="preserve">Cross-check (formula, not pivot)</t>
  </si>
  <si>
    <t xml:space="preserve">ORD1001</t>
  </si>
  <si>
    <t xml:space="preserve">KFC</t>
  </si>
  <si>
    <t xml:space="preserve">Pune</t>
  </si>
  <si>
    <t xml:space="preserve">Dev</t>
  </si>
  <si>
    <t xml:space="preserve">Total Amount</t>
  </si>
  <si>
    <t xml:space="preserve">ORD1002</t>
  </si>
  <si>
    <t xml:space="preserve">Pizza Hut</t>
  </si>
  <si>
    <t xml:space="preserve">Ahmedabad</t>
  </si>
  <si>
    <t xml:space="preserve">ORD1003</t>
  </si>
  <si>
    <t xml:space="preserve">Vadodara</t>
  </si>
  <si>
    <t xml:space="preserve">Imran</t>
  </si>
  <si>
    <t xml:space="preserve">Surat</t>
  </si>
  <si>
    <t xml:space="preserve">ORD1004</t>
  </si>
  <si>
    <t xml:space="preserve">Wok Express</t>
  </si>
  <si>
    <t xml:space="preserve">Rajkot</t>
  </si>
  <si>
    <t xml:space="preserve">Neha</t>
  </si>
  <si>
    <t xml:space="preserve">ORD1005</t>
  </si>
  <si>
    <t xml:space="preserve">Burger King</t>
  </si>
  <si>
    <t xml:space="preserve">Rohan</t>
  </si>
  <si>
    <t xml:space="preserve">ORD1006</t>
  </si>
  <si>
    <t xml:space="preserve">Kiran</t>
  </si>
  <si>
    <t xml:space="preserve">ORD1007</t>
  </si>
  <si>
    <t xml:space="preserve">Biryani Blues</t>
  </si>
  <si>
    <t xml:space="preserve">Mumbai</t>
  </si>
  <si>
    <t xml:space="preserve">ORD1008</t>
  </si>
  <si>
    <t xml:space="preserve">Honest Restaurant</t>
  </si>
  <si>
    <t xml:space="preserve">Sanjay</t>
  </si>
  <si>
    <t xml:space="preserve">Grand total</t>
  </si>
  <si>
    <t xml:space="preserve">ORD1009</t>
  </si>
  <si>
    <t xml:space="preserve">ORD1010</t>
  </si>
  <si>
    <t xml:space="preserve">Domino's</t>
  </si>
  <si>
    <t xml:space="preserve">ORD1011</t>
  </si>
  <si>
    <t xml:space="preserve">ORD1012</t>
  </si>
  <si>
    <t xml:space="preserve">ORD1013</t>
  </si>
  <si>
    <t xml:space="preserve">ORD1014</t>
  </si>
  <si>
    <t xml:space="preserve">ORD1015</t>
  </si>
  <si>
    <t xml:space="preserve">ORD1016</t>
  </si>
  <si>
    <t xml:space="preserve">ORD1017</t>
  </si>
  <si>
    <t xml:space="preserve">ORD1018</t>
  </si>
  <si>
    <t xml:space="preserve">ORD1019</t>
  </si>
  <si>
    <t xml:space="preserve">ORD1020</t>
  </si>
  <si>
    <t xml:space="preserve">Gwalia Sweets</t>
  </si>
  <si>
    <t xml:space="preserve">ORD1021</t>
  </si>
  <si>
    <t xml:space="preserve">ORD1022</t>
  </si>
  <si>
    <t xml:space="preserve">ORD1023</t>
  </si>
  <si>
    <t xml:space="preserve">ORD1024</t>
  </si>
  <si>
    <t xml:space="preserve">ORD1025</t>
  </si>
  <si>
    <t xml:space="preserve">ORD1026</t>
  </si>
  <si>
    <t xml:space="preserve">ORD1027</t>
  </si>
  <si>
    <t xml:space="preserve">ORD1028</t>
  </si>
  <si>
    <t xml:space="preserve">ORD1029</t>
  </si>
  <si>
    <t xml:space="preserve">ORD1030</t>
  </si>
  <si>
    <t xml:space="preserve">ORD1031</t>
  </si>
  <si>
    <t xml:space="preserve">ORD1032</t>
  </si>
  <si>
    <t xml:space="preserve">ORD1033</t>
  </si>
  <si>
    <t xml:space="preserve">ORD1034</t>
  </si>
  <si>
    <t xml:space="preserve">ORD1035</t>
  </si>
  <si>
    <t xml:space="preserve">ORD1036</t>
  </si>
  <si>
    <t xml:space="preserve">ORD1037</t>
  </si>
  <si>
    <t xml:space="preserve">ORD1038</t>
  </si>
  <si>
    <t xml:space="preserve">ORD1039</t>
  </si>
  <si>
    <t xml:space="preserve">ORD1040</t>
  </si>
  <si>
    <t xml:space="preserve">ORD1041</t>
  </si>
  <si>
    <t xml:space="preserve">ORD1042</t>
  </si>
  <si>
    <t xml:space="preserve">ORD1043</t>
  </si>
  <si>
    <t xml:space="preserve">ORD1044</t>
  </si>
  <si>
    <t xml:space="preserve">ORD1045</t>
  </si>
  <si>
    <t xml:space="preserve">ORD1046</t>
  </si>
  <si>
    <t xml:space="preserve">ORD1047</t>
  </si>
  <si>
    <t xml:space="preserve">ORD1048</t>
  </si>
  <si>
    <t xml:space="preserve">ORD1049</t>
  </si>
  <si>
    <t xml:space="preserve">ORD1050</t>
  </si>
  <si>
    <t xml:space="preserve">ORD1051</t>
  </si>
  <si>
    <t xml:space="preserve">ORD1052</t>
  </si>
  <si>
    <t xml:space="preserve">ORD1053</t>
  </si>
  <si>
    <t xml:space="preserve">ORD1054</t>
  </si>
  <si>
    <t xml:space="preserve">ORD1055</t>
  </si>
  <si>
    <t xml:space="preserve">ORD1056</t>
  </si>
  <si>
    <t xml:space="preserve">ORD1057</t>
  </si>
  <si>
    <t xml:space="preserve">ORD1058</t>
  </si>
  <si>
    <t xml:space="preserve">ORD1059</t>
  </si>
  <si>
    <t xml:space="preserve">ORD1060</t>
  </si>
  <si>
    <t xml:space="preserve">Filter</t>
  </si>
  <si>
    <t xml:space="preserve">Sum - Amount</t>
  </si>
  <si>
    <t xml:space="preserve">Total Result</t>
  </si>
  <si>
    <t xml:space="preserve">Count - Order ID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</si>
</sst>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1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0" createdVersion="3">
  <cacheSource type="worksheet">
    <worksheetSource ref="A1:E61" sheet="Data"/>
  </cacheSource>
  <cacheFields count="5">
    <cacheField name="Order ID" numFmtId="0">
      <sharedItems count="60">
        <s v="ORD1001"/>
        <s v="ORD1002"/>
        <s v="ORD1003"/>
        <s v="ORD1004"/>
        <s v="ORD1005"/>
        <s v="ORD1006"/>
        <s v="ORD1007"/>
        <s v="ORD1008"/>
        <s v="ORD1009"/>
        <s v="ORD1010"/>
        <s v="ORD1011"/>
        <s v="ORD1012"/>
        <s v="ORD1013"/>
        <s v="ORD1014"/>
        <s v="ORD1015"/>
        <s v="ORD1016"/>
        <s v="ORD1017"/>
        <s v="ORD1018"/>
        <s v="ORD1019"/>
        <s v="ORD1020"/>
        <s v="ORD1021"/>
        <s v="ORD1022"/>
        <s v="ORD1023"/>
        <s v="ORD1024"/>
        <s v="ORD1025"/>
        <s v="ORD1026"/>
        <s v="ORD1027"/>
        <s v="ORD1028"/>
        <s v="ORD1029"/>
        <s v="ORD1030"/>
        <s v="ORD1031"/>
        <s v="ORD1032"/>
        <s v="ORD1033"/>
        <s v="ORD1034"/>
        <s v="ORD1035"/>
        <s v="ORD1036"/>
        <s v="ORD1037"/>
        <s v="ORD1038"/>
        <s v="ORD1039"/>
        <s v="ORD1040"/>
        <s v="ORD1041"/>
        <s v="ORD1042"/>
        <s v="ORD1043"/>
        <s v="ORD1044"/>
        <s v="ORD1045"/>
        <s v="ORD1046"/>
        <s v="ORD1047"/>
        <s v="ORD1048"/>
        <s v="ORD1049"/>
        <s v="ORD1050"/>
        <s v="ORD1051"/>
        <s v="ORD1052"/>
        <s v="ORD1053"/>
        <s v="ORD1054"/>
        <s v="ORD1055"/>
        <s v="ORD1056"/>
        <s v="ORD1057"/>
        <s v="ORD1058"/>
        <s v="ORD1059"/>
        <s v="ORD1060"/>
      </sharedItems>
    </cacheField>
    <cacheField name="Restaurant" numFmtId="0">
      <sharedItems count="8">
        <s v="Biryani Blues"/>
        <s v="Burger King"/>
        <s v="Domino's"/>
        <s v="Gwalia Sweets"/>
        <s v="Honest Restaurant"/>
        <s v="KFC"/>
        <s v="Pizza Hut"/>
        <s v="Wok Express"/>
      </sharedItems>
    </cacheField>
    <cacheField name="City" numFmtId="0">
      <sharedItems count="6">
        <s v="Ahmedabad"/>
        <s v="Mumbai"/>
        <s v="Pune"/>
        <s v="Rajkot"/>
        <s v="Surat"/>
        <s v="Vadodara"/>
      </sharedItems>
    </cacheField>
    <cacheField name="Delivery Partner" numFmtId="0">
      <sharedItems count="6">
        <s v="Dev"/>
        <s v="Imran"/>
        <s v="Kiran"/>
        <s v="Neha"/>
        <s v="Rohan"/>
        <s v="Sanjay"/>
      </sharedItems>
    </cacheField>
    <cacheField name="Amount" numFmtId="0">
      <sharedItems containsSemiMixedTypes="0" containsString="0" containsNumber="1" containsInteger="1" minValue="160" maxValue="1380" count="49">
        <n v="160"/>
        <n v="220"/>
        <n v="240"/>
        <n v="250"/>
        <n v="260"/>
        <n v="290"/>
        <n v="310"/>
        <n v="320"/>
        <n v="330"/>
        <n v="370"/>
        <n v="380"/>
        <n v="390"/>
        <n v="400"/>
        <n v="420"/>
        <n v="470"/>
        <n v="490"/>
        <n v="550"/>
        <n v="580"/>
        <n v="590"/>
        <n v="620"/>
        <n v="640"/>
        <n v="670"/>
        <n v="680"/>
        <n v="710"/>
        <n v="720"/>
        <n v="730"/>
        <n v="750"/>
        <n v="760"/>
        <n v="780"/>
        <n v="800"/>
        <n v="890"/>
        <n v="910"/>
        <n v="950"/>
        <n v="990"/>
        <n v="1010"/>
        <n v="1080"/>
        <n v="1090"/>
        <n v="1110"/>
        <n v="1160"/>
        <n v="1190"/>
        <n v="1200"/>
        <n v="1230"/>
        <n v="1250"/>
        <n v="1290"/>
        <n v="1300"/>
        <n v="1320"/>
        <n v="1330"/>
        <n v="1340"/>
        <n v="138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">
  <r>
    <x v="0"/>
    <x v="5"/>
    <x v="2"/>
    <x v="0"/>
    <x v="24"/>
  </r>
  <r>
    <x v="1"/>
    <x v="6"/>
    <x v="2"/>
    <x v="0"/>
    <x v="32"/>
  </r>
  <r>
    <x v="2"/>
    <x v="5"/>
    <x v="5"/>
    <x v="1"/>
    <x v="4"/>
  </r>
  <r>
    <x v="3"/>
    <x v="7"/>
    <x v="3"/>
    <x v="3"/>
    <x v="36"/>
  </r>
  <r>
    <x v="4"/>
    <x v="1"/>
    <x v="2"/>
    <x v="4"/>
    <x v="1"/>
  </r>
  <r>
    <x v="5"/>
    <x v="1"/>
    <x v="3"/>
    <x v="2"/>
    <x v="23"/>
  </r>
  <r>
    <x v="6"/>
    <x v="0"/>
    <x v="1"/>
    <x v="2"/>
    <x v="28"/>
  </r>
  <r>
    <x v="7"/>
    <x v="4"/>
    <x v="3"/>
    <x v="5"/>
    <x v="47"/>
  </r>
  <r>
    <x v="8"/>
    <x v="4"/>
    <x v="5"/>
    <x v="1"/>
    <x v="29"/>
  </r>
  <r>
    <x v="9"/>
    <x v="2"/>
    <x v="3"/>
    <x v="4"/>
    <x v="41"/>
  </r>
  <r>
    <x v="10"/>
    <x v="1"/>
    <x v="1"/>
    <x v="4"/>
    <x v="13"/>
  </r>
  <r>
    <x v="11"/>
    <x v="7"/>
    <x v="1"/>
    <x v="0"/>
    <x v="22"/>
  </r>
  <r>
    <x v="12"/>
    <x v="0"/>
    <x v="1"/>
    <x v="2"/>
    <x v="17"/>
  </r>
  <r>
    <x v="13"/>
    <x v="1"/>
    <x v="3"/>
    <x v="4"/>
    <x v="7"/>
  </r>
  <r>
    <x v="14"/>
    <x v="1"/>
    <x v="3"/>
    <x v="0"/>
    <x v="9"/>
  </r>
  <r>
    <x v="15"/>
    <x v="5"/>
    <x v="2"/>
    <x v="1"/>
    <x v="35"/>
  </r>
  <r>
    <x v="16"/>
    <x v="7"/>
    <x v="0"/>
    <x v="0"/>
    <x v="22"/>
  </r>
  <r>
    <x v="17"/>
    <x v="4"/>
    <x v="0"/>
    <x v="1"/>
    <x v="10"/>
  </r>
  <r>
    <x v="18"/>
    <x v="1"/>
    <x v="4"/>
    <x v="1"/>
    <x v="23"/>
  </r>
  <r>
    <x v="19"/>
    <x v="3"/>
    <x v="5"/>
    <x v="0"/>
    <x v="2"/>
  </r>
  <r>
    <x v="20"/>
    <x v="0"/>
    <x v="0"/>
    <x v="5"/>
    <x v="19"/>
  </r>
  <r>
    <x v="21"/>
    <x v="5"/>
    <x v="2"/>
    <x v="1"/>
    <x v="42"/>
  </r>
  <r>
    <x v="22"/>
    <x v="6"/>
    <x v="5"/>
    <x v="1"/>
    <x v="39"/>
  </r>
  <r>
    <x v="23"/>
    <x v="0"/>
    <x v="4"/>
    <x v="3"/>
    <x v="32"/>
  </r>
  <r>
    <x v="24"/>
    <x v="7"/>
    <x v="3"/>
    <x v="5"/>
    <x v="3"/>
  </r>
  <r>
    <x v="25"/>
    <x v="2"/>
    <x v="0"/>
    <x v="5"/>
    <x v="48"/>
  </r>
  <r>
    <x v="26"/>
    <x v="7"/>
    <x v="5"/>
    <x v="0"/>
    <x v="40"/>
  </r>
  <r>
    <x v="27"/>
    <x v="6"/>
    <x v="1"/>
    <x v="4"/>
    <x v="6"/>
  </r>
  <r>
    <x v="28"/>
    <x v="2"/>
    <x v="5"/>
    <x v="1"/>
    <x v="45"/>
  </r>
  <r>
    <x v="29"/>
    <x v="1"/>
    <x v="0"/>
    <x v="2"/>
    <x v="21"/>
  </r>
  <r>
    <x v="30"/>
    <x v="1"/>
    <x v="4"/>
    <x v="2"/>
    <x v="19"/>
  </r>
  <r>
    <x v="31"/>
    <x v="2"/>
    <x v="5"/>
    <x v="1"/>
    <x v="43"/>
  </r>
  <r>
    <x v="32"/>
    <x v="6"/>
    <x v="2"/>
    <x v="4"/>
    <x v="46"/>
  </r>
  <r>
    <x v="33"/>
    <x v="4"/>
    <x v="0"/>
    <x v="4"/>
    <x v="31"/>
  </r>
  <r>
    <x v="34"/>
    <x v="2"/>
    <x v="1"/>
    <x v="2"/>
    <x v="16"/>
  </r>
  <r>
    <x v="35"/>
    <x v="5"/>
    <x v="2"/>
    <x v="2"/>
    <x v="36"/>
  </r>
  <r>
    <x v="36"/>
    <x v="3"/>
    <x v="0"/>
    <x v="3"/>
    <x v="26"/>
  </r>
  <r>
    <x v="37"/>
    <x v="1"/>
    <x v="3"/>
    <x v="5"/>
    <x v="0"/>
  </r>
  <r>
    <x v="38"/>
    <x v="1"/>
    <x v="2"/>
    <x v="4"/>
    <x v="3"/>
  </r>
  <r>
    <x v="39"/>
    <x v="7"/>
    <x v="1"/>
    <x v="2"/>
    <x v="20"/>
  </r>
  <r>
    <x v="40"/>
    <x v="5"/>
    <x v="3"/>
    <x v="5"/>
    <x v="3"/>
  </r>
  <r>
    <x v="41"/>
    <x v="4"/>
    <x v="2"/>
    <x v="4"/>
    <x v="27"/>
  </r>
  <r>
    <x v="42"/>
    <x v="2"/>
    <x v="3"/>
    <x v="5"/>
    <x v="33"/>
  </r>
  <r>
    <x v="43"/>
    <x v="1"/>
    <x v="5"/>
    <x v="2"/>
    <x v="8"/>
  </r>
  <r>
    <x v="44"/>
    <x v="6"/>
    <x v="5"/>
    <x v="3"/>
    <x v="47"/>
  </r>
  <r>
    <x v="45"/>
    <x v="3"/>
    <x v="3"/>
    <x v="3"/>
    <x v="14"/>
  </r>
  <r>
    <x v="46"/>
    <x v="0"/>
    <x v="3"/>
    <x v="1"/>
    <x v="30"/>
  </r>
  <r>
    <x v="47"/>
    <x v="6"/>
    <x v="4"/>
    <x v="0"/>
    <x v="18"/>
  </r>
  <r>
    <x v="48"/>
    <x v="2"/>
    <x v="5"/>
    <x v="1"/>
    <x v="5"/>
  </r>
  <r>
    <x v="49"/>
    <x v="0"/>
    <x v="3"/>
    <x v="0"/>
    <x v="32"/>
  </r>
  <r>
    <x v="50"/>
    <x v="3"/>
    <x v="1"/>
    <x v="5"/>
    <x v="24"/>
  </r>
  <r>
    <x v="51"/>
    <x v="4"/>
    <x v="2"/>
    <x v="4"/>
    <x v="34"/>
  </r>
  <r>
    <x v="52"/>
    <x v="3"/>
    <x v="5"/>
    <x v="3"/>
    <x v="38"/>
  </r>
  <r>
    <x v="53"/>
    <x v="6"/>
    <x v="3"/>
    <x v="0"/>
    <x v="11"/>
  </r>
  <r>
    <x v="54"/>
    <x v="6"/>
    <x v="0"/>
    <x v="3"/>
    <x v="5"/>
  </r>
  <r>
    <x v="55"/>
    <x v="3"/>
    <x v="0"/>
    <x v="3"/>
    <x v="12"/>
  </r>
  <r>
    <x v="56"/>
    <x v="6"/>
    <x v="1"/>
    <x v="4"/>
    <x v="37"/>
  </r>
  <r>
    <x v="57"/>
    <x v="1"/>
    <x v="4"/>
    <x v="1"/>
    <x v="15"/>
  </r>
  <r>
    <x v="58"/>
    <x v="6"/>
    <x v="3"/>
    <x v="3"/>
    <x v="44"/>
  </r>
  <r>
    <x v="59"/>
    <x v="7"/>
    <x v="4"/>
    <x v="0"/>
    <x v="25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T_City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4:B11" firstHeaderRow="1" firstDataRow="1" firstDataCol="1"/>
  <pivotFields count="5">
    <pivotField compact="0" showAll="0"/>
    <pivotField compact="0" showAll="0"/>
    <pivotField axis="axisRow" compact="0" showAll="0" defaultSubtotal="0">
      <items count="6">
        <item x="0"/>
        <item x="1"/>
        <item x="2"/>
        <item x="3"/>
        <item x="4"/>
        <item x="5"/>
      </items>
    </pivotField>
    <pivotField compact="0" showAll="0"/>
    <pivotField dataField="1" compact="0" showAll="0"/>
  </pivotFields>
  <rowFields count="1">
    <field x="2"/>
  </rowFields>
  <dataFields count="1">
    <dataField name="Sum - Amount" fld="4" subtotal="sum" numFmtId="165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T_RestCity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4:H14" firstHeaderRow="1" firstDataRow="2" firstDataCol="1"/>
  <pivotFields count="5">
    <pivotField compact="0" showAll="0"/>
    <pivotField axis="axisRow" compact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Col" compact="0" showAll="0" defaultSubtotal="0">
      <items count="6">
        <item x="0"/>
        <item x="1"/>
        <item x="2"/>
        <item x="3"/>
        <item x="4"/>
        <item x="5"/>
      </items>
    </pivotField>
    <pivotField compact="0" showAll="0"/>
    <pivotField dataField="1" compact="0" showAll="0"/>
  </pivotFields>
  <rowFields count="1">
    <field x="1"/>
  </rowFields>
  <colFields count="1">
    <field x="2"/>
  </colFields>
  <dataFields count="1">
    <dataField name="Sum - Amount" fld="4" subtotal="sum" numFmtId="165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T_Partner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4:B11" firstHeaderRow="1" firstDataRow="1" firstDataCol="1"/>
  <pivotFields count="5">
    <pivotField dataField="1" compact="0" showAll="0"/>
    <pivotField compact="0" showAll="0"/>
    <pivotField compact="0" showAll="0"/>
    <pivotField axis="axisRow" compact="0" showAll="0" defaultSubtotal="0">
      <items count="6">
        <item x="0"/>
        <item x="1"/>
        <item x="2"/>
        <item x="3"/>
        <item x="4"/>
        <item x="5"/>
      </items>
    </pivotField>
    <pivotField compact="0" showAll="0"/>
  </pivotFields>
  <rowFields count="1">
    <field x="3"/>
  </rowFields>
  <dataFields count="1">
    <dataField name="Count - Order ID" fld="0" subtotal="count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T_Filter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7:B15" firstHeaderRow="1" firstDataRow="1" firstDataCol="1" rowPageCount="1" colPageCount="1"/>
  <pivotFields count="5">
    <pivotField compact="0" showAll="0"/>
    <pivotField axis="axisRow" compact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Page" compact="0" showAll="0" defaultSubtotal="0">
      <items count="6">
        <item x="0"/>
        <item h="1" x="1"/>
        <item h="1" x="2"/>
        <item h="1" x="3"/>
        <item h="1" x="4"/>
        <item h="1" x="5"/>
      </items>
    </pivotField>
    <pivotField compact="0" showAll="0"/>
    <pivotField dataField="1" compact="0" showAll="0"/>
  </pivotFields>
  <rowFields count="1">
    <field x="1"/>
  </rowFields>
  <pageFields count="1">
    <pageField fld="2" hier="-1"/>
  </pageFields>
  <dataFields count="1">
    <dataField name="Sum - Amount" fld="4" subtotal="sum" numFmtId="165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pivotTable" Target="../pivotTables/pivot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55"/>
    <col collapsed="false" customWidth="true" hidden="false" outlineLevel="0" max="3" min="3" style="1" width="22"/>
    <col collapsed="false" customWidth="true" hidden="false" outlineLevel="0" max="4" min="4" style="1" width="11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23.85" hidden="false" customHeight="false" outlineLevel="0" collapsed="false">
      <c r="A5" s="5" t="s">
        <v>6</v>
      </c>
      <c r="B5" s="5" t="s">
        <v>7</v>
      </c>
      <c r="C5" s="5" t="s">
        <v>8</v>
      </c>
      <c r="D5" s="5" t="s">
        <v>9</v>
      </c>
    </row>
    <row r="6" customFormat="false" ht="23.85" hidden="false" customHeight="false" outlineLevel="0" collapsed="false">
      <c r="A6" s="5" t="s">
        <v>10</v>
      </c>
      <c r="B6" s="5" t="s">
        <v>11</v>
      </c>
      <c r="C6" s="5" t="s">
        <v>12</v>
      </c>
      <c r="D6" s="5" t="s">
        <v>13</v>
      </c>
    </row>
    <row r="7" customFormat="false" ht="23.85" hidden="false" customHeight="false" outlineLevel="0" collapsed="false">
      <c r="A7" s="5" t="s">
        <v>14</v>
      </c>
      <c r="B7" s="5" t="s">
        <v>15</v>
      </c>
      <c r="C7" s="5" t="s">
        <v>16</v>
      </c>
      <c r="D7" s="5" t="s">
        <v>17</v>
      </c>
    </row>
    <row r="8" customFormat="false" ht="23.85" hidden="false" customHeight="false" outlineLevel="0" collapsed="false">
      <c r="A8" s="5" t="s">
        <v>18</v>
      </c>
      <c r="B8" s="5" t="s">
        <v>19</v>
      </c>
      <c r="C8" s="5" t="s">
        <v>20</v>
      </c>
      <c r="D8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12"/>
    <col collapsed="false" customWidth="true" hidden="false" outlineLevel="0" max="4" min="4" style="1" width="19"/>
    <col collapsed="false" customWidth="true" hidden="false" outlineLevel="0" max="5" min="5" style="1" width="9"/>
    <col collapsed="false" customWidth="true" hidden="false" outlineLevel="0" max="8" min="8" style="1" width="35"/>
    <col collapsed="false" customWidth="true" hidden="false" outlineLevel="0" max="9" min="9" style="1" width="17"/>
  </cols>
  <sheetData>
    <row r="1" customFormat="false" ht="15" hidden="false" customHeight="fals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H1" s="6" t="s">
        <v>27</v>
      </c>
    </row>
    <row r="2" customFormat="false" ht="15" hidden="false" customHeight="false" outlineLevel="0" collapsed="false">
      <c r="A2" s="7" t="s">
        <v>28</v>
      </c>
      <c r="B2" s="7" t="s">
        <v>29</v>
      </c>
      <c r="C2" s="7" t="s">
        <v>30</v>
      </c>
      <c r="D2" s="7" t="s">
        <v>31</v>
      </c>
      <c r="E2" s="8" t="n">
        <v>720</v>
      </c>
      <c r="H2" s="4" t="s">
        <v>24</v>
      </c>
      <c r="I2" s="4" t="s">
        <v>32</v>
      </c>
    </row>
    <row r="3" customFormat="false" ht="15" hidden="false" customHeight="false" outlineLevel="0" collapsed="false">
      <c r="A3" s="7" t="s">
        <v>33</v>
      </c>
      <c r="B3" s="7" t="s">
        <v>34</v>
      </c>
      <c r="C3" s="7" t="s">
        <v>30</v>
      </c>
      <c r="D3" s="7" t="s">
        <v>31</v>
      </c>
      <c r="E3" s="8" t="n">
        <v>950</v>
      </c>
      <c r="H3" s="7" t="s">
        <v>35</v>
      </c>
      <c r="I3" s="8" t="n">
        <f aca="false">SUMIFS($E$2:$E$61,$C$2:$C$61,H3)</f>
        <v>6080</v>
      </c>
    </row>
    <row r="4" customFormat="false" ht="15" hidden="false" customHeight="false" outlineLevel="0" collapsed="false">
      <c r="A4" s="7" t="s">
        <v>36</v>
      </c>
      <c r="B4" s="7" t="s">
        <v>29</v>
      </c>
      <c r="C4" s="7" t="s">
        <v>37</v>
      </c>
      <c r="D4" s="7" t="s">
        <v>38</v>
      </c>
      <c r="E4" s="8" t="n">
        <v>260</v>
      </c>
      <c r="H4" s="7" t="s">
        <v>39</v>
      </c>
      <c r="I4" s="8" t="n">
        <f aca="false">SUMIFS($E$2:$E$61,$C$2:$C$61,H4)</f>
        <v>4090</v>
      </c>
    </row>
    <row r="5" customFormat="false" ht="15" hidden="false" customHeight="false" outlineLevel="0" collapsed="false">
      <c r="A5" s="7" t="s">
        <v>40</v>
      </c>
      <c r="B5" s="7" t="s">
        <v>41</v>
      </c>
      <c r="C5" s="7" t="s">
        <v>42</v>
      </c>
      <c r="D5" s="7" t="s">
        <v>43</v>
      </c>
      <c r="E5" s="8" t="n">
        <v>1090</v>
      </c>
      <c r="H5" s="7" t="s">
        <v>37</v>
      </c>
      <c r="I5" s="8" t="n">
        <f aca="false">SUMIFS($E$2:$E$61,$C$2:$C$61,H5)</f>
        <v>9420</v>
      </c>
    </row>
    <row r="6" customFormat="false" ht="15" hidden="false" customHeight="false" outlineLevel="0" collapsed="false">
      <c r="A6" s="7" t="s">
        <v>44</v>
      </c>
      <c r="B6" s="7" t="s">
        <v>45</v>
      </c>
      <c r="C6" s="7" t="s">
        <v>30</v>
      </c>
      <c r="D6" s="7" t="s">
        <v>46</v>
      </c>
      <c r="E6" s="8" t="n">
        <v>220</v>
      </c>
      <c r="H6" s="7" t="s">
        <v>42</v>
      </c>
      <c r="I6" s="8" t="n">
        <f aca="false">SUMIFS($E$2:$E$61,$C$2:$C$61,H6)</f>
        <v>10710</v>
      </c>
    </row>
    <row r="7" customFormat="false" ht="15" hidden="false" customHeight="false" outlineLevel="0" collapsed="false">
      <c r="A7" s="7" t="s">
        <v>47</v>
      </c>
      <c r="B7" s="7" t="s">
        <v>45</v>
      </c>
      <c r="C7" s="7" t="s">
        <v>42</v>
      </c>
      <c r="D7" s="7" t="s">
        <v>48</v>
      </c>
      <c r="E7" s="8" t="n">
        <v>710</v>
      </c>
      <c r="H7" s="7" t="s">
        <v>30</v>
      </c>
      <c r="I7" s="8" t="n">
        <f aca="false">SUMIFS($E$2:$E$61,$C$2:$C$61,H7)</f>
        <v>8660</v>
      </c>
    </row>
    <row r="8" customFormat="false" ht="15" hidden="false" customHeight="false" outlineLevel="0" collapsed="false">
      <c r="A8" s="7" t="s">
        <v>49</v>
      </c>
      <c r="B8" s="7" t="s">
        <v>50</v>
      </c>
      <c r="C8" s="7" t="s">
        <v>51</v>
      </c>
      <c r="D8" s="7" t="s">
        <v>48</v>
      </c>
      <c r="E8" s="8" t="n">
        <v>780</v>
      </c>
      <c r="H8" s="7" t="s">
        <v>51</v>
      </c>
      <c r="I8" s="8" t="n">
        <f aca="false">SUMIFS($E$2:$E$61,$C$2:$C$61,H8)</f>
        <v>5790</v>
      </c>
    </row>
    <row r="9" customFormat="false" ht="15" hidden="false" customHeight="false" outlineLevel="0" collapsed="false">
      <c r="A9" s="7" t="s">
        <v>52</v>
      </c>
      <c r="B9" s="7" t="s">
        <v>53</v>
      </c>
      <c r="C9" s="7" t="s">
        <v>42</v>
      </c>
      <c r="D9" s="7" t="s">
        <v>54</v>
      </c>
      <c r="E9" s="8" t="n">
        <v>1340</v>
      </c>
      <c r="H9" s="6" t="s">
        <v>55</v>
      </c>
      <c r="I9" s="9" t="n">
        <f aca="false">SUM(I3:I8)</f>
        <v>44750</v>
      </c>
    </row>
    <row r="10" customFormat="false" ht="15" hidden="false" customHeight="false" outlineLevel="0" collapsed="false">
      <c r="A10" s="7" t="s">
        <v>56</v>
      </c>
      <c r="B10" s="7" t="s">
        <v>53</v>
      </c>
      <c r="C10" s="7" t="s">
        <v>37</v>
      </c>
      <c r="D10" s="7" t="s">
        <v>38</v>
      </c>
      <c r="E10" s="8" t="n">
        <v>800</v>
      </c>
    </row>
    <row r="11" customFormat="false" ht="15" hidden="false" customHeight="false" outlineLevel="0" collapsed="false">
      <c r="A11" s="7" t="s">
        <v>57</v>
      </c>
      <c r="B11" s="7" t="s">
        <v>58</v>
      </c>
      <c r="C11" s="7" t="s">
        <v>42</v>
      </c>
      <c r="D11" s="7" t="s">
        <v>46</v>
      </c>
      <c r="E11" s="8" t="n">
        <v>1230</v>
      </c>
    </row>
    <row r="12" customFormat="false" ht="15" hidden="false" customHeight="false" outlineLevel="0" collapsed="false">
      <c r="A12" s="7" t="s">
        <v>59</v>
      </c>
      <c r="B12" s="7" t="s">
        <v>45</v>
      </c>
      <c r="C12" s="7" t="s">
        <v>51</v>
      </c>
      <c r="D12" s="7" t="s">
        <v>46</v>
      </c>
      <c r="E12" s="8" t="n">
        <v>420</v>
      </c>
    </row>
    <row r="13" customFormat="false" ht="15" hidden="false" customHeight="false" outlineLevel="0" collapsed="false">
      <c r="A13" s="7" t="s">
        <v>60</v>
      </c>
      <c r="B13" s="7" t="s">
        <v>41</v>
      </c>
      <c r="C13" s="7" t="s">
        <v>51</v>
      </c>
      <c r="D13" s="7" t="s">
        <v>31</v>
      </c>
      <c r="E13" s="8" t="n">
        <v>680</v>
      </c>
    </row>
    <row r="14" customFormat="false" ht="15" hidden="false" customHeight="false" outlineLevel="0" collapsed="false">
      <c r="A14" s="7" t="s">
        <v>61</v>
      </c>
      <c r="B14" s="7" t="s">
        <v>50</v>
      </c>
      <c r="C14" s="7" t="s">
        <v>51</v>
      </c>
      <c r="D14" s="7" t="s">
        <v>48</v>
      </c>
      <c r="E14" s="8" t="n">
        <v>580</v>
      </c>
    </row>
    <row r="15" customFormat="false" ht="15" hidden="false" customHeight="false" outlineLevel="0" collapsed="false">
      <c r="A15" s="7" t="s">
        <v>62</v>
      </c>
      <c r="B15" s="7" t="s">
        <v>45</v>
      </c>
      <c r="C15" s="7" t="s">
        <v>42</v>
      </c>
      <c r="D15" s="7" t="s">
        <v>46</v>
      </c>
      <c r="E15" s="8" t="n">
        <v>320</v>
      </c>
    </row>
    <row r="16" customFormat="false" ht="15" hidden="false" customHeight="false" outlineLevel="0" collapsed="false">
      <c r="A16" s="7" t="s">
        <v>63</v>
      </c>
      <c r="B16" s="7" t="s">
        <v>45</v>
      </c>
      <c r="C16" s="7" t="s">
        <v>42</v>
      </c>
      <c r="D16" s="7" t="s">
        <v>31</v>
      </c>
      <c r="E16" s="8" t="n">
        <v>370</v>
      </c>
    </row>
    <row r="17" customFormat="false" ht="15" hidden="false" customHeight="false" outlineLevel="0" collapsed="false">
      <c r="A17" s="7" t="s">
        <v>64</v>
      </c>
      <c r="B17" s="7" t="s">
        <v>29</v>
      </c>
      <c r="C17" s="7" t="s">
        <v>30</v>
      </c>
      <c r="D17" s="7" t="s">
        <v>38</v>
      </c>
      <c r="E17" s="8" t="n">
        <v>1080</v>
      </c>
    </row>
    <row r="18" customFormat="false" ht="15" hidden="false" customHeight="false" outlineLevel="0" collapsed="false">
      <c r="A18" s="7" t="s">
        <v>65</v>
      </c>
      <c r="B18" s="7" t="s">
        <v>41</v>
      </c>
      <c r="C18" s="7" t="s">
        <v>35</v>
      </c>
      <c r="D18" s="7" t="s">
        <v>31</v>
      </c>
      <c r="E18" s="8" t="n">
        <v>680</v>
      </c>
    </row>
    <row r="19" customFormat="false" ht="15" hidden="false" customHeight="false" outlineLevel="0" collapsed="false">
      <c r="A19" s="7" t="s">
        <v>66</v>
      </c>
      <c r="B19" s="7" t="s">
        <v>53</v>
      </c>
      <c r="C19" s="7" t="s">
        <v>35</v>
      </c>
      <c r="D19" s="7" t="s">
        <v>38</v>
      </c>
      <c r="E19" s="8" t="n">
        <v>380</v>
      </c>
    </row>
    <row r="20" customFormat="false" ht="15" hidden="false" customHeight="false" outlineLevel="0" collapsed="false">
      <c r="A20" s="7" t="s">
        <v>67</v>
      </c>
      <c r="B20" s="7" t="s">
        <v>45</v>
      </c>
      <c r="C20" s="7" t="s">
        <v>39</v>
      </c>
      <c r="D20" s="7" t="s">
        <v>38</v>
      </c>
      <c r="E20" s="8" t="n">
        <v>710</v>
      </c>
    </row>
    <row r="21" customFormat="false" ht="15" hidden="false" customHeight="false" outlineLevel="0" collapsed="false">
      <c r="A21" s="7" t="s">
        <v>68</v>
      </c>
      <c r="B21" s="7" t="s">
        <v>69</v>
      </c>
      <c r="C21" s="7" t="s">
        <v>37</v>
      </c>
      <c r="D21" s="7" t="s">
        <v>31</v>
      </c>
      <c r="E21" s="8" t="n">
        <v>240</v>
      </c>
    </row>
    <row r="22" customFormat="false" ht="15" hidden="false" customHeight="false" outlineLevel="0" collapsed="false">
      <c r="A22" s="7" t="s">
        <v>70</v>
      </c>
      <c r="B22" s="7" t="s">
        <v>50</v>
      </c>
      <c r="C22" s="7" t="s">
        <v>35</v>
      </c>
      <c r="D22" s="7" t="s">
        <v>54</v>
      </c>
      <c r="E22" s="8" t="n">
        <v>620</v>
      </c>
    </row>
    <row r="23" customFormat="false" ht="15" hidden="false" customHeight="false" outlineLevel="0" collapsed="false">
      <c r="A23" s="7" t="s">
        <v>71</v>
      </c>
      <c r="B23" s="7" t="s">
        <v>29</v>
      </c>
      <c r="C23" s="7" t="s">
        <v>30</v>
      </c>
      <c r="D23" s="7" t="s">
        <v>38</v>
      </c>
      <c r="E23" s="8" t="n">
        <v>1250</v>
      </c>
    </row>
    <row r="24" customFormat="false" ht="15" hidden="false" customHeight="false" outlineLevel="0" collapsed="false">
      <c r="A24" s="7" t="s">
        <v>72</v>
      </c>
      <c r="B24" s="7" t="s">
        <v>34</v>
      </c>
      <c r="C24" s="7" t="s">
        <v>37</v>
      </c>
      <c r="D24" s="7" t="s">
        <v>38</v>
      </c>
      <c r="E24" s="8" t="n">
        <v>1190</v>
      </c>
    </row>
    <row r="25" customFormat="false" ht="15" hidden="false" customHeight="false" outlineLevel="0" collapsed="false">
      <c r="A25" s="7" t="s">
        <v>73</v>
      </c>
      <c r="B25" s="7" t="s">
        <v>50</v>
      </c>
      <c r="C25" s="7" t="s">
        <v>39</v>
      </c>
      <c r="D25" s="7" t="s">
        <v>43</v>
      </c>
      <c r="E25" s="8" t="n">
        <v>950</v>
      </c>
    </row>
    <row r="26" customFormat="false" ht="15" hidden="false" customHeight="false" outlineLevel="0" collapsed="false">
      <c r="A26" s="7" t="s">
        <v>74</v>
      </c>
      <c r="B26" s="7" t="s">
        <v>41</v>
      </c>
      <c r="C26" s="7" t="s">
        <v>42</v>
      </c>
      <c r="D26" s="7" t="s">
        <v>54</v>
      </c>
      <c r="E26" s="8" t="n">
        <v>250</v>
      </c>
    </row>
    <row r="27" customFormat="false" ht="15" hidden="false" customHeight="false" outlineLevel="0" collapsed="false">
      <c r="A27" s="7" t="s">
        <v>75</v>
      </c>
      <c r="B27" s="7" t="s">
        <v>58</v>
      </c>
      <c r="C27" s="7" t="s">
        <v>35</v>
      </c>
      <c r="D27" s="7" t="s">
        <v>54</v>
      </c>
      <c r="E27" s="8" t="n">
        <v>1380</v>
      </c>
    </row>
    <row r="28" customFormat="false" ht="15" hidden="false" customHeight="false" outlineLevel="0" collapsed="false">
      <c r="A28" s="7" t="s">
        <v>76</v>
      </c>
      <c r="B28" s="7" t="s">
        <v>41</v>
      </c>
      <c r="C28" s="7" t="s">
        <v>37</v>
      </c>
      <c r="D28" s="7" t="s">
        <v>31</v>
      </c>
      <c r="E28" s="8" t="n">
        <v>1200</v>
      </c>
    </row>
    <row r="29" customFormat="false" ht="15" hidden="false" customHeight="false" outlineLevel="0" collapsed="false">
      <c r="A29" s="7" t="s">
        <v>77</v>
      </c>
      <c r="B29" s="7" t="s">
        <v>34</v>
      </c>
      <c r="C29" s="7" t="s">
        <v>51</v>
      </c>
      <c r="D29" s="7" t="s">
        <v>46</v>
      </c>
      <c r="E29" s="8" t="n">
        <v>310</v>
      </c>
    </row>
    <row r="30" customFormat="false" ht="15" hidden="false" customHeight="false" outlineLevel="0" collapsed="false">
      <c r="A30" s="7" t="s">
        <v>78</v>
      </c>
      <c r="B30" s="7" t="s">
        <v>58</v>
      </c>
      <c r="C30" s="7" t="s">
        <v>37</v>
      </c>
      <c r="D30" s="7" t="s">
        <v>38</v>
      </c>
      <c r="E30" s="8" t="n">
        <v>1320</v>
      </c>
    </row>
    <row r="31" customFormat="false" ht="15" hidden="false" customHeight="false" outlineLevel="0" collapsed="false">
      <c r="A31" s="7" t="s">
        <v>79</v>
      </c>
      <c r="B31" s="7" t="s">
        <v>45</v>
      </c>
      <c r="C31" s="7" t="s">
        <v>35</v>
      </c>
      <c r="D31" s="7" t="s">
        <v>48</v>
      </c>
      <c r="E31" s="8" t="n">
        <v>670</v>
      </c>
    </row>
    <row r="32" customFormat="false" ht="15" hidden="false" customHeight="false" outlineLevel="0" collapsed="false">
      <c r="A32" s="7" t="s">
        <v>80</v>
      </c>
      <c r="B32" s="7" t="s">
        <v>45</v>
      </c>
      <c r="C32" s="7" t="s">
        <v>39</v>
      </c>
      <c r="D32" s="7" t="s">
        <v>48</v>
      </c>
      <c r="E32" s="8" t="n">
        <v>620</v>
      </c>
    </row>
    <row r="33" customFormat="false" ht="15" hidden="false" customHeight="false" outlineLevel="0" collapsed="false">
      <c r="A33" s="7" t="s">
        <v>81</v>
      </c>
      <c r="B33" s="7" t="s">
        <v>58</v>
      </c>
      <c r="C33" s="7" t="s">
        <v>37</v>
      </c>
      <c r="D33" s="7" t="s">
        <v>38</v>
      </c>
      <c r="E33" s="8" t="n">
        <v>1290</v>
      </c>
    </row>
    <row r="34" customFormat="false" ht="15" hidden="false" customHeight="false" outlineLevel="0" collapsed="false">
      <c r="A34" s="7" t="s">
        <v>82</v>
      </c>
      <c r="B34" s="7" t="s">
        <v>34</v>
      </c>
      <c r="C34" s="7" t="s">
        <v>30</v>
      </c>
      <c r="D34" s="7" t="s">
        <v>46</v>
      </c>
      <c r="E34" s="8" t="n">
        <v>1330</v>
      </c>
    </row>
    <row r="35" customFormat="false" ht="15" hidden="false" customHeight="false" outlineLevel="0" collapsed="false">
      <c r="A35" s="7" t="s">
        <v>83</v>
      </c>
      <c r="B35" s="7" t="s">
        <v>53</v>
      </c>
      <c r="C35" s="7" t="s">
        <v>35</v>
      </c>
      <c r="D35" s="7" t="s">
        <v>46</v>
      </c>
      <c r="E35" s="8" t="n">
        <v>910</v>
      </c>
    </row>
    <row r="36" customFormat="false" ht="15" hidden="false" customHeight="false" outlineLevel="0" collapsed="false">
      <c r="A36" s="7" t="s">
        <v>84</v>
      </c>
      <c r="B36" s="7" t="s">
        <v>58</v>
      </c>
      <c r="C36" s="7" t="s">
        <v>51</v>
      </c>
      <c r="D36" s="7" t="s">
        <v>48</v>
      </c>
      <c r="E36" s="8" t="n">
        <v>550</v>
      </c>
    </row>
    <row r="37" customFormat="false" ht="15" hidden="false" customHeight="false" outlineLevel="0" collapsed="false">
      <c r="A37" s="7" t="s">
        <v>85</v>
      </c>
      <c r="B37" s="7" t="s">
        <v>29</v>
      </c>
      <c r="C37" s="7" t="s">
        <v>30</v>
      </c>
      <c r="D37" s="7" t="s">
        <v>48</v>
      </c>
      <c r="E37" s="8" t="n">
        <v>1090</v>
      </c>
    </row>
    <row r="38" customFormat="false" ht="15" hidden="false" customHeight="false" outlineLevel="0" collapsed="false">
      <c r="A38" s="7" t="s">
        <v>86</v>
      </c>
      <c r="B38" s="7" t="s">
        <v>69</v>
      </c>
      <c r="C38" s="7" t="s">
        <v>35</v>
      </c>
      <c r="D38" s="7" t="s">
        <v>43</v>
      </c>
      <c r="E38" s="8" t="n">
        <v>750</v>
      </c>
    </row>
    <row r="39" customFormat="false" ht="15" hidden="false" customHeight="false" outlineLevel="0" collapsed="false">
      <c r="A39" s="7" t="s">
        <v>87</v>
      </c>
      <c r="B39" s="7" t="s">
        <v>45</v>
      </c>
      <c r="C39" s="7" t="s">
        <v>42</v>
      </c>
      <c r="D39" s="7" t="s">
        <v>54</v>
      </c>
      <c r="E39" s="8" t="n">
        <v>160</v>
      </c>
    </row>
    <row r="40" customFormat="false" ht="15" hidden="false" customHeight="false" outlineLevel="0" collapsed="false">
      <c r="A40" s="7" t="s">
        <v>88</v>
      </c>
      <c r="B40" s="7" t="s">
        <v>45</v>
      </c>
      <c r="C40" s="7" t="s">
        <v>30</v>
      </c>
      <c r="D40" s="7" t="s">
        <v>46</v>
      </c>
      <c r="E40" s="8" t="n">
        <v>250</v>
      </c>
    </row>
    <row r="41" customFormat="false" ht="15" hidden="false" customHeight="false" outlineLevel="0" collapsed="false">
      <c r="A41" s="7" t="s">
        <v>89</v>
      </c>
      <c r="B41" s="7" t="s">
        <v>41</v>
      </c>
      <c r="C41" s="7" t="s">
        <v>51</v>
      </c>
      <c r="D41" s="7" t="s">
        <v>48</v>
      </c>
      <c r="E41" s="8" t="n">
        <v>640</v>
      </c>
    </row>
    <row r="42" customFormat="false" ht="15" hidden="false" customHeight="false" outlineLevel="0" collapsed="false">
      <c r="A42" s="7" t="s">
        <v>90</v>
      </c>
      <c r="B42" s="7" t="s">
        <v>29</v>
      </c>
      <c r="C42" s="7" t="s">
        <v>42</v>
      </c>
      <c r="D42" s="7" t="s">
        <v>54</v>
      </c>
      <c r="E42" s="8" t="n">
        <v>250</v>
      </c>
    </row>
    <row r="43" customFormat="false" ht="15" hidden="false" customHeight="false" outlineLevel="0" collapsed="false">
      <c r="A43" s="7" t="s">
        <v>91</v>
      </c>
      <c r="B43" s="7" t="s">
        <v>53</v>
      </c>
      <c r="C43" s="7" t="s">
        <v>30</v>
      </c>
      <c r="D43" s="7" t="s">
        <v>46</v>
      </c>
      <c r="E43" s="8" t="n">
        <v>760</v>
      </c>
    </row>
    <row r="44" customFormat="false" ht="15" hidden="false" customHeight="false" outlineLevel="0" collapsed="false">
      <c r="A44" s="7" t="s">
        <v>92</v>
      </c>
      <c r="B44" s="7" t="s">
        <v>58</v>
      </c>
      <c r="C44" s="7" t="s">
        <v>42</v>
      </c>
      <c r="D44" s="7" t="s">
        <v>54</v>
      </c>
      <c r="E44" s="8" t="n">
        <v>990</v>
      </c>
    </row>
    <row r="45" customFormat="false" ht="15" hidden="false" customHeight="false" outlineLevel="0" collapsed="false">
      <c r="A45" s="7" t="s">
        <v>93</v>
      </c>
      <c r="B45" s="7" t="s">
        <v>45</v>
      </c>
      <c r="C45" s="7" t="s">
        <v>37</v>
      </c>
      <c r="D45" s="7" t="s">
        <v>48</v>
      </c>
      <c r="E45" s="8" t="n">
        <v>330</v>
      </c>
    </row>
    <row r="46" customFormat="false" ht="15" hidden="false" customHeight="false" outlineLevel="0" collapsed="false">
      <c r="A46" s="7" t="s">
        <v>94</v>
      </c>
      <c r="B46" s="7" t="s">
        <v>34</v>
      </c>
      <c r="C46" s="7" t="s">
        <v>37</v>
      </c>
      <c r="D46" s="7" t="s">
        <v>43</v>
      </c>
      <c r="E46" s="8" t="n">
        <v>1340</v>
      </c>
    </row>
    <row r="47" customFormat="false" ht="15" hidden="false" customHeight="false" outlineLevel="0" collapsed="false">
      <c r="A47" s="7" t="s">
        <v>95</v>
      </c>
      <c r="B47" s="7" t="s">
        <v>69</v>
      </c>
      <c r="C47" s="7" t="s">
        <v>42</v>
      </c>
      <c r="D47" s="7" t="s">
        <v>43</v>
      </c>
      <c r="E47" s="8" t="n">
        <v>470</v>
      </c>
    </row>
    <row r="48" customFormat="false" ht="15" hidden="false" customHeight="false" outlineLevel="0" collapsed="false">
      <c r="A48" s="7" t="s">
        <v>96</v>
      </c>
      <c r="B48" s="7" t="s">
        <v>50</v>
      </c>
      <c r="C48" s="7" t="s">
        <v>42</v>
      </c>
      <c r="D48" s="7" t="s">
        <v>38</v>
      </c>
      <c r="E48" s="8" t="n">
        <v>890</v>
      </c>
    </row>
    <row r="49" customFormat="false" ht="15" hidden="false" customHeight="false" outlineLevel="0" collapsed="false">
      <c r="A49" s="7" t="s">
        <v>97</v>
      </c>
      <c r="B49" s="7" t="s">
        <v>34</v>
      </c>
      <c r="C49" s="7" t="s">
        <v>39</v>
      </c>
      <c r="D49" s="7" t="s">
        <v>31</v>
      </c>
      <c r="E49" s="8" t="n">
        <v>590</v>
      </c>
    </row>
    <row r="50" customFormat="false" ht="15" hidden="false" customHeight="false" outlineLevel="0" collapsed="false">
      <c r="A50" s="7" t="s">
        <v>98</v>
      </c>
      <c r="B50" s="7" t="s">
        <v>58</v>
      </c>
      <c r="C50" s="7" t="s">
        <v>37</v>
      </c>
      <c r="D50" s="7" t="s">
        <v>38</v>
      </c>
      <c r="E50" s="8" t="n">
        <v>290</v>
      </c>
    </row>
    <row r="51" customFormat="false" ht="15" hidden="false" customHeight="false" outlineLevel="0" collapsed="false">
      <c r="A51" s="7" t="s">
        <v>99</v>
      </c>
      <c r="B51" s="7" t="s">
        <v>50</v>
      </c>
      <c r="C51" s="7" t="s">
        <v>42</v>
      </c>
      <c r="D51" s="7" t="s">
        <v>31</v>
      </c>
      <c r="E51" s="8" t="n">
        <v>950</v>
      </c>
    </row>
    <row r="52" customFormat="false" ht="15" hidden="false" customHeight="false" outlineLevel="0" collapsed="false">
      <c r="A52" s="7" t="s">
        <v>100</v>
      </c>
      <c r="B52" s="7" t="s">
        <v>69</v>
      </c>
      <c r="C52" s="7" t="s">
        <v>51</v>
      </c>
      <c r="D52" s="7" t="s">
        <v>54</v>
      </c>
      <c r="E52" s="8" t="n">
        <v>720</v>
      </c>
    </row>
    <row r="53" customFormat="false" ht="15" hidden="false" customHeight="false" outlineLevel="0" collapsed="false">
      <c r="A53" s="7" t="s">
        <v>101</v>
      </c>
      <c r="B53" s="7" t="s">
        <v>53</v>
      </c>
      <c r="C53" s="7" t="s">
        <v>30</v>
      </c>
      <c r="D53" s="7" t="s">
        <v>46</v>
      </c>
      <c r="E53" s="8" t="n">
        <v>1010</v>
      </c>
    </row>
    <row r="54" customFormat="false" ht="15" hidden="false" customHeight="false" outlineLevel="0" collapsed="false">
      <c r="A54" s="7" t="s">
        <v>102</v>
      </c>
      <c r="B54" s="7" t="s">
        <v>69</v>
      </c>
      <c r="C54" s="7" t="s">
        <v>37</v>
      </c>
      <c r="D54" s="7" t="s">
        <v>43</v>
      </c>
      <c r="E54" s="8" t="n">
        <v>1160</v>
      </c>
    </row>
    <row r="55" customFormat="false" ht="15" hidden="false" customHeight="false" outlineLevel="0" collapsed="false">
      <c r="A55" s="7" t="s">
        <v>103</v>
      </c>
      <c r="B55" s="7" t="s">
        <v>34</v>
      </c>
      <c r="C55" s="7" t="s">
        <v>42</v>
      </c>
      <c r="D55" s="7" t="s">
        <v>31</v>
      </c>
      <c r="E55" s="8" t="n">
        <v>390</v>
      </c>
    </row>
    <row r="56" customFormat="false" ht="15" hidden="false" customHeight="false" outlineLevel="0" collapsed="false">
      <c r="A56" s="7" t="s">
        <v>104</v>
      </c>
      <c r="B56" s="7" t="s">
        <v>34</v>
      </c>
      <c r="C56" s="7" t="s">
        <v>35</v>
      </c>
      <c r="D56" s="7" t="s">
        <v>43</v>
      </c>
      <c r="E56" s="8" t="n">
        <v>290</v>
      </c>
    </row>
    <row r="57" customFormat="false" ht="15" hidden="false" customHeight="false" outlineLevel="0" collapsed="false">
      <c r="A57" s="7" t="s">
        <v>105</v>
      </c>
      <c r="B57" s="7" t="s">
        <v>69</v>
      </c>
      <c r="C57" s="7" t="s">
        <v>35</v>
      </c>
      <c r="D57" s="7" t="s">
        <v>43</v>
      </c>
      <c r="E57" s="8" t="n">
        <v>400</v>
      </c>
    </row>
    <row r="58" customFormat="false" ht="15" hidden="false" customHeight="false" outlineLevel="0" collapsed="false">
      <c r="A58" s="7" t="s">
        <v>106</v>
      </c>
      <c r="B58" s="7" t="s">
        <v>34</v>
      </c>
      <c r="C58" s="7" t="s">
        <v>51</v>
      </c>
      <c r="D58" s="7" t="s">
        <v>46</v>
      </c>
      <c r="E58" s="8" t="n">
        <v>1110</v>
      </c>
    </row>
    <row r="59" customFormat="false" ht="15" hidden="false" customHeight="false" outlineLevel="0" collapsed="false">
      <c r="A59" s="7" t="s">
        <v>107</v>
      </c>
      <c r="B59" s="7" t="s">
        <v>45</v>
      </c>
      <c r="C59" s="7" t="s">
        <v>39</v>
      </c>
      <c r="D59" s="7" t="s">
        <v>38</v>
      </c>
      <c r="E59" s="8" t="n">
        <v>490</v>
      </c>
    </row>
    <row r="60" customFormat="false" ht="15" hidden="false" customHeight="false" outlineLevel="0" collapsed="false">
      <c r="A60" s="7" t="s">
        <v>108</v>
      </c>
      <c r="B60" s="7" t="s">
        <v>34</v>
      </c>
      <c r="C60" s="7" t="s">
        <v>42</v>
      </c>
      <c r="D60" s="7" t="s">
        <v>43</v>
      </c>
      <c r="E60" s="8" t="n">
        <v>1300</v>
      </c>
    </row>
    <row r="61" customFormat="false" ht="15" hidden="false" customHeight="false" outlineLevel="0" collapsed="false">
      <c r="A61" s="7" t="s">
        <v>109</v>
      </c>
      <c r="B61" s="7" t="s">
        <v>41</v>
      </c>
      <c r="C61" s="7" t="s">
        <v>39</v>
      </c>
      <c r="D61" s="7" t="s">
        <v>31</v>
      </c>
      <c r="E61" s="8" t="n">
        <v>730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A2" s="10" t="s">
        <v>110</v>
      </c>
    </row>
    <row r="3" customFormat="false" ht="13.8" hidden="false" customHeight="false" outlineLevel="0" collapsed="false"/>
    <row r="4" customFormat="false" ht="13.8" hidden="false" customHeight="false" outlineLevel="0" collapsed="false">
      <c r="A4" s="11" t="s">
        <v>24</v>
      </c>
      <c r="B4" s="12" t="s">
        <v>111</v>
      </c>
    </row>
    <row r="5" customFormat="false" ht="13.8" hidden="false" customHeight="false" outlineLevel="0" collapsed="false">
      <c r="A5" s="13" t="s">
        <v>35</v>
      </c>
      <c r="B5" s="14" t="n">
        <v>6080</v>
      </c>
    </row>
    <row r="6" customFormat="false" ht="13.8" hidden="false" customHeight="false" outlineLevel="0" collapsed="false">
      <c r="A6" s="15" t="s">
        <v>51</v>
      </c>
      <c r="B6" s="16" t="n">
        <v>5790</v>
      </c>
    </row>
    <row r="7" customFormat="false" ht="13.8" hidden="false" customHeight="false" outlineLevel="0" collapsed="false">
      <c r="A7" s="15" t="s">
        <v>30</v>
      </c>
      <c r="B7" s="16" t="n">
        <v>8660</v>
      </c>
    </row>
    <row r="8" customFormat="false" ht="13.8" hidden="false" customHeight="false" outlineLevel="0" collapsed="false">
      <c r="A8" s="15" t="s">
        <v>42</v>
      </c>
      <c r="B8" s="16" t="n">
        <v>10710</v>
      </c>
    </row>
    <row r="9" customFormat="false" ht="13.8" hidden="false" customHeight="false" outlineLevel="0" collapsed="false">
      <c r="A9" s="15" t="s">
        <v>39</v>
      </c>
      <c r="B9" s="16" t="n">
        <v>4090</v>
      </c>
    </row>
    <row r="10" customFormat="false" ht="13.8" hidden="false" customHeight="false" outlineLevel="0" collapsed="false">
      <c r="A10" s="15" t="s">
        <v>37</v>
      </c>
      <c r="B10" s="17" t="n">
        <v>9420</v>
      </c>
    </row>
    <row r="11" customFormat="false" ht="13.8" hidden="false" customHeight="false" outlineLevel="0" collapsed="false">
      <c r="A11" s="18" t="s">
        <v>112</v>
      </c>
      <c r="B11" s="19" t="n">
        <v>44750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A2" s="10" t="s">
        <v>110</v>
      </c>
    </row>
    <row r="3" customFormat="false" ht="13.8" hidden="false" customHeight="false" outlineLevel="0" collapsed="false"/>
    <row r="4" customFormat="false" ht="13.8" hidden="false" customHeight="false" outlineLevel="0" collapsed="false">
      <c r="A4" s="20" t="s">
        <v>111</v>
      </c>
      <c r="B4" s="21" t="s">
        <v>24</v>
      </c>
      <c r="C4" s="22"/>
      <c r="D4" s="22"/>
      <c r="E4" s="22"/>
      <c r="F4" s="22"/>
      <c r="G4" s="22"/>
      <c r="H4" s="23"/>
    </row>
    <row r="5" customFormat="false" ht="13.8" hidden="false" customHeight="false" outlineLevel="0" collapsed="false">
      <c r="A5" s="24" t="s">
        <v>23</v>
      </c>
      <c r="B5" s="25" t="s">
        <v>35</v>
      </c>
      <c r="C5" s="26" t="s">
        <v>51</v>
      </c>
      <c r="D5" s="26" t="s">
        <v>30</v>
      </c>
      <c r="E5" s="26" t="s">
        <v>42</v>
      </c>
      <c r="F5" s="26" t="s">
        <v>39</v>
      </c>
      <c r="G5" s="26" t="s">
        <v>37</v>
      </c>
      <c r="H5" s="27" t="s">
        <v>112</v>
      </c>
    </row>
    <row r="6" customFormat="false" ht="13.8" hidden="false" customHeight="false" outlineLevel="0" collapsed="false">
      <c r="A6" s="13" t="s">
        <v>50</v>
      </c>
      <c r="B6" s="28" t="n">
        <v>620</v>
      </c>
      <c r="C6" s="29" t="n">
        <v>1360</v>
      </c>
      <c r="D6" s="30"/>
      <c r="E6" s="29" t="n">
        <v>1840</v>
      </c>
      <c r="F6" s="29" t="n">
        <v>950</v>
      </c>
      <c r="G6" s="31"/>
      <c r="H6" s="32" t="n">
        <v>4770</v>
      </c>
    </row>
    <row r="7" customFormat="false" ht="13.8" hidden="false" customHeight="false" outlineLevel="0" collapsed="false">
      <c r="A7" s="15" t="s">
        <v>45</v>
      </c>
      <c r="B7" s="33" t="n">
        <v>670</v>
      </c>
      <c r="C7" s="34" t="n">
        <v>420</v>
      </c>
      <c r="D7" s="34" t="n">
        <v>470</v>
      </c>
      <c r="E7" s="34" t="n">
        <v>1560</v>
      </c>
      <c r="F7" s="34" t="n">
        <v>1820</v>
      </c>
      <c r="G7" s="35" t="n">
        <v>330</v>
      </c>
      <c r="H7" s="36" t="n">
        <v>5270</v>
      </c>
    </row>
    <row r="8" customFormat="false" ht="13.8" hidden="false" customHeight="false" outlineLevel="0" collapsed="false">
      <c r="A8" s="15" t="s">
        <v>58</v>
      </c>
      <c r="B8" s="33" t="n">
        <v>1380</v>
      </c>
      <c r="C8" s="34" t="n">
        <v>550</v>
      </c>
      <c r="D8" s="37"/>
      <c r="E8" s="34" t="n">
        <v>2220</v>
      </c>
      <c r="F8" s="37"/>
      <c r="G8" s="35" t="n">
        <v>2900</v>
      </c>
      <c r="H8" s="36" t="n">
        <v>7050</v>
      </c>
    </row>
    <row r="9" customFormat="false" ht="13.8" hidden="false" customHeight="false" outlineLevel="0" collapsed="false">
      <c r="A9" s="15" t="s">
        <v>69</v>
      </c>
      <c r="B9" s="33" t="n">
        <v>1150</v>
      </c>
      <c r="C9" s="34" t="n">
        <v>720</v>
      </c>
      <c r="D9" s="37"/>
      <c r="E9" s="34" t="n">
        <v>470</v>
      </c>
      <c r="F9" s="37"/>
      <c r="G9" s="35" t="n">
        <v>1400</v>
      </c>
      <c r="H9" s="36" t="n">
        <v>3740</v>
      </c>
    </row>
    <row r="10" customFormat="false" ht="13.8" hidden="false" customHeight="false" outlineLevel="0" collapsed="false">
      <c r="A10" s="15" t="s">
        <v>53</v>
      </c>
      <c r="B10" s="33" t="n">
        <v>1290</v>
      </c>
      <c r="C10" s="37"/>
      <c r="D10" s="34" t="n">
        <v>1770</v>
      </c>
      <c r="E10" s="34" t="n">
        <v>1340</v>
      </c>
      <c r="F10" s="37"/>
      <c r="G10" s="35" t="n">
        <v>800</v>
      </c>
      <c r="H10" s="36" t="n">
        <v>5200</v>
      </c>
    </row>
    <row r="11" customFormat="false" ht="13.8" hidden="false" customHeight="false" outlineLevel="0" collapsed="false">
      <c r="A11" s="15" t="s">
        <v>29</v>
      </c>
      <c r="B11" s="38"/>
      <c r="C11" s="37"/>
      <c r="D11" s="34" t="n">
        <v>4140</v>
      </c>
      <c r="E11" s="34" t="n">
        <v>250</v>
      </c>
      <c r="F11" s="37"/>
      <c r="G11" s="35" t="n">
        <v>260</v>
      </c>
      <c r="H11" s="36" t="n">
        <v>4650</v>
      </c>
    </row>
    <row r="12" customFormat="false" ht="13.8" hidden="false" customHeight="false" outlineLevel="0" collapsed="false">
      <c r="A12" s="15" t="s">
        <v>34</v>
      </c>
      <c r="B12" s="33" t="n">
        <v>290</v>
      </c>
      <c r="C12" s="34" t="n">
        <v>1420</v>
      </c>
      <c r="D12" s="34" t="n">
        <v>2280</v>
      </c>
      <c r="E12" s="34" t="n">
        <v>1690</v>
      </c>
      <c r="F12" s="34" t="n">
        <v>590</v>
      </c>
      <c r="G12" s="35" t="n">
        <v>2530</v>
      </c>
      <c r="H12" s="36" t="n">
        <v>8800</v>
      </c>
    </row>
    <row r="13" customFormat="false" ht="13.8" hidden="false" customHeight="false" outlineLevel="0" collapsed="false">
      <c r="A13" s="15" t="s">
        <v>41</v>
      </c>
      <c r="B13" s="39" t="n">
        <v>680</v>
      </c>
      <c r="C13" s="40" t="n">
        <v>1320</v>
      </c>
      <c r="D13" s="41"/>
      <c r="E13" s="40" t="n">
        <v>1340</v>
      </c>
      <c r="F13" s="40" t="n">
        <v>730</v>
      </c>
      <c r="G13" s="42" t="n">
        <v>1200</v>
      </c>
      <c r="H13" s="43" t="n">
        <v>5270</v>
      </c>
    </row>
    <row r="14" customFormat="false" ht="13.8" hidden="false" customHeight="false" outlineLevel="0" collapsed="false">
      <c r="A14" s="18" t="s">
        <v>112</v>
      </c>
      <c r="B14" s="44" t="n">
        <v>6080</v>
      </c>
      <c r="C14" s="45" t="n">
        <v>5790</v>
      </c>
      <c r="D14" s="45" t="n">
        <v>8660</v>
      </c>
      <c r="E14" s="45" t="n">
        <v>10710</v>
      </c>
      <c r="F14" s="45" t="n">
        <v>4090</v>
      </c>
      <c r="G14" s="46" t="n">
        <v>9420</v>
      </c>
      <c r="H14" s="19" t="n">
        <v>44750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A2" s="10" t="s">
        <v>110</v>
      </c>
    </row>
    <row r="3" customFormat="false" ht="13.8" hidden="false" customHeight="false" outlineLevel="0" collapsed="false"/>
    <row r="4" customFormat="false" ht="13.8" hidden="false" customHeight="false" outlineLevel="0" collapsed="false">
      <c r="A4" s="11" t="s">
        <v>25</v>
      </c>
      <c r="B4" s="12" t="s">
        <v>113</v>
      </c>
    </row>
    <row r="5" customFormat="false" ht="13.8" hidden="false" customHeight="false" outlineLevel="0" collapsed="false">
      <c r="A5" s="13" t="s">
        <v>31</v>
      </c>
      <c r="B5" s="47" t="n">
        <v>11</v>
      </c>
    </row>
    <row r="6" customFormat="false" ht="13.8" hidden="false" customHeight="false" outlineLevel="0" collapsed="false">
      <c r="A6" s="15" t="s">
        <v>38</v>
      </c>
      <c r="B6" s="48" t="n">
        <v>12</v>
      </c>
    </row>
    <row r="7" customFormat="false" ht="13.8" hidden="false" customHeight="false" outlineLevel="0" collapsed="false">
      <c r="A7" s="15" t="s">
        <v>48</v>
      </c>
      <c r="B7" s="48" t="n">
        <v>9</v>
      </c>
    </row>
    <row r="8" customFormat="false" ht="13.8" hidden="false" customHeight="false" outlineLevel="0" collapsed="false">
      <c r="A8" s="15" t="s">
        <v>43</v>
      </c>
      <c r="B8" s="48" t="n">
        <v>9</v>
      </c>
    </row>
    <row r="9" customFormat="false" ht="13.8" hidden="false" customHeight="false" outlineLevel="0" collapsed="false">
      <c r="A9" s="15" t="s">
        <v>46</v>
      </c>
      <c r="B9" s="48" t="n">
        <v>11</v>
      </c>
    </row>
    <row r="10" customFormat="false" ht="13.8" hidden="false" customHeight="false" outlineLevel="0" collapsed="false">
      <c r="A10" s="15" t="s">
        <v>54</v>
      </c>
      <c r="B10" s="49" t="n">
        <v>8</v>
      </c>
    </row>
    <row r="11" customFormat="false" ht="13.8" hidden="false" customHeight="false" outlineLevel="0" collapsed="false">
      <c r="A11" s="18" t="s">
        <v>112</v>
      </c>
      <c r="B11" s="50" t="n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>
      <c r="A4" s="10" t="s">
        <v>110</v>
      </c>
    </row>
    <row r="5" customFormat="false" ht="13.8" hidden="false" customHeight="false" outlineLevel="0" collapsed="false">
      <c r="A5" s="51" t="s">
        <v>24</v>
      </c>
      <c r="B5" s="52" t="s">
        <v>35</v>
      </c>
    </row>
    <row r="6" customFormat="false" ht="13.8" hidden="false" customHeight="false" outlineLevel="0" collapsed="false"/>
    <row r="7" customFormat="false" ht="13.8" hidden="false" customHeight="false" outlineLevel="0" collapsed="false">
      <c r="A7" s="11" t="s">
        <v>23</v>
      </c>
      <c r="B7" s="12" t="s">
        <v>111</v>
      </c>
    </row>
    <row r="8" customFormat="false" ht="13.8" hidden="false" customHeight="false" outlineLevel="0" collapsed="false">
      <c r="A8" s="13" t="s">
        <v>50</v>
      </c>
      <c r="B8" s="14" t="n">
        <v>620</v>
      </c>
    </row>
    <row r="9" customFormat="false" ht="13.8" hidden="false" customHeight="false" outlineLevel="0" collapsed="false">
      <c r="A9" s="15" t="s">
        <v>45</v>
      </c>
      <c r="B9" s="16" t="n">
        <v>670</v>
      </c>
    </row>
    <row r="10" customFormat="false" ht="13.8" hidden="false" customHeight="false" outlineLevel="0" collapsed="false">
      <c r="A10" s="15" t="s">
        <v>58</v>
      </c>
      <c r="B10" s="16" t="n">
        <v>1380</v>
      </c>
    </row>
    <row r="11" customFormat="false" ht="13.8" hidden="false" customHeight="false" outlineLevel="0" collapsed="false">
      <c r="A11" s="15" t="s">
        <v>69</v>
      </c>
      <c r="B11" s="16" t="n">
        <v>1150</v>
      </c>
    </row>
    <row r="12" customFormat="false" ht="13.8" hidden="false" customHeight="false" outlineLevel="0" collapsed="false">
      <c r="A12" s="15" t="s">
        <v>53</v>
      </c>
      <c r="B12" s="16" t="n">
        <v>1290</v>
      </c>
    </row>
    <row r="13" customFormat="false" ht="13.8" hidden="false" customHeight="false" outlineLevel="0" collapsed="false">
      <c r="A13" s="15" t="s">
        <v>34</v>
      </c>
      <c r="B13" s="16" t="n">
        <v>290</v>
      </c>
    </row>
    <row r="14" customFormat="false" ht="13.8" hidden="false" customHeight="false" outlineLevel="0" collapsed="false">
      <c r="A14" s="15" t="s">
        <v>41</v>
      </c>
      <c r="B14" s="17" t="n">
        <v>680</v>
      </c>
    </row>
    <row r="15" customFormat="false" ht="13.8" hidden="false" customHeight="false" outlineLevel="0" collapsed="false">
      <c r="A15" s="18" t="s">
        <v>112</v>
      </c>
      <c r="B15" s="19" t="n">
        <v>6080</v>
      </c>
    </row>
    <row r="1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2026-10-02T08:50:33Z</dcterms:created>
  <dc:creator>openpyxl</dc:creator>
  <dc:description/>
  <dc:language>en-US</dc:language>
  <cp:lastModifiedBy/>
  <dcterms:modified xsi:type="dcterms:W3CDTF">2026-10-02T08:50:34Z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