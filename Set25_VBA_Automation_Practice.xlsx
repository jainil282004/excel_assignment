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Task Notes" sheetId="1" state="visible" r:id="rId3"/>
    <sheet name="IPL_Data" sheetId="2" state="visible" r:id="rId4"/>
    <sheet name="Playlist_Export" sheetId="3" state="visible" r:id="rId5"/>
    <sheet name="Playlist_After_Clean" sheetId="4" state="visible" r:id="rId6"/>
    <sheet name="Sales_Data" sheetId="5" state="visible" r:id="rId7"/>
    <sheet name="Dashboard" sheetId="6" state="visible" r:id="rId8"/>
    <sheet name="VBA_Code" sheetId="7" state="visible" r:id="rId9"/>
    <sheet name="Sales_Pivot" sheetId="8" state="visible" r:id="rId10"/>
  </sheets>
  <calcPr iterateCount="100" refMode="A1" iterate="false" iterateDelta="0.0001"/>
  <pivotCaches>
    <pivotCache cacheId="1" r:id="rId12"/>
  </pivotCaches>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<sst xmlns="http://schemas.openxmlformats.org/spreadsheetml/2006/main" count="253" uniqueCount="131">
  <si>
    <t xml:space="preserve">Set 25 - VBA automation: formatting, cleaning, refresh button, PDF export, Power Query refresh</t>
  </si>
  <si>
    <t xml:space="preserve">Each task has its own worksheet (named in the 'Worksheet' column). Sample data is synthetic and created for this assignment.</t>
  </si>
  <si>
    <t xml:space="preserve">Task</t>
  </si>
  <si>
    <t xml:space="preserve">Question (summary)</t>
  </si>
  <si>
    <t xml:space="preserve">Worksheet</t>
  </si>
  <si>
    <t xml:space="preserve">What was done / answer / explanation</t>
  </si>
  <si>
    <t xml:space="preserve">1</t>
  </si>
  <si>
    <t xml:space="preserve">Record macro: bold headers, autofit, borders on IPL data.</t>
  </si>
  <si>
    <t xml:space="preserve">IPL_Data / VBA_Code</t>
  </si>
  <si>
    <t xml:space="preserve">FormatIPLData (recorded-style) formats the active sheet: bold row 1, continuous borders around UsedRange, auto-fit columns. Record it by doing those three steps with the recorder on.</t>
  </si>
  <si>
    <t xml:space="preserve">2</t>
  </si>
  <si>
    <t xml:space="preserve">VBA macro CleanPlaylistData: remove duplicates and trim spaces.</t>
  </si>
  <si>
    <t xml:space="preserve">Playlist_Export -&gt; Playlist_After_Clean</t>
  </si>
  <si>
    <t xml:space="preserve">Macro trims every text cell (WorksheetFunction.Trim also collapses double spaces) and then calls RemoveDuplicates on all columns. 10 rows -&gt; 6 rows; a message box reports how many duplicates were removed.</t>
  </si>
  <si>
    <t xml:space="preserve">3</t>
  </si>
  <si>
    <t xml:space="preserve">Button that refreshes all PivotTables and updates dashboard charts.</t>
  </si>
  <si>
    <t xml:space="preserve">Dashboard / VBA_Code</t>
  </si>
  <si>
    <t xml:space="preserve">RefreshDashboard loops through every PivotTable (RefreshTable) and chart (Chart.Refresh). AddRefreshButton creates a Form-Control button at H2 and assigns the macro (manual alternative: Developer &gt; Insert &gt; Button &gt; Assign Macro).</t>
  </si>
  <si>
    <t xml:space="preserve">4</t>
  </si>
  <si>
    <t xml:space="preserve">Export dashboard sheet to Desktop PDF 'Zomato_Sales_Dashboard.pdf' with error handling.</t>
  </si>
  <si>
    <t xml:space="preserve">ExportDashboardPDF checks the sheet exists, resolves the real Desktop folder via WScript.Shell, exports with ExportAsFixedFormat inside On Error Resume Next and then tests Err.Number to show either a success or failure message.</t>
  </si>
  <si>
    <t xml:space="preserve">5</t>
  </si>
  <si>
    <t xml:space="preserve">ChatGPT/Copilot macro to refresh Power Query then show message box.</t>
  </si>
  <si>
    <t xml:space="preserve">VBA_Code</t>
  </si>
  <si>
    <t xml:space="preserve">Prompt used: "Write a VBA macro that refreshes a Power Query data source and then displays a message box saying 'Data refreshed successfully!'". Code pasted as RefreshPowerQueryData: turns off background refresh for query connections, RefreshAll, waits with CalculateUntilAsyncQueriesDone, then shows the message (error handler included).</t>
  </si>
  <si>
    <t xml:space="preserve">-</t>
  </si>
  <si>
    <t xml:space="preserve">How to run</t>
  </si>
  <si>
    <t xml:space="preserve">Import Set25_VBA_Automation.bas (Alt+F11 &gt; File &gt; Import File), save the workbook as .xlsm, then run macros with Alt+F8. Macros cannot be embedded in an .xlsx.</t>
  </si>
  <si>
    <t xml:space="preserve">Match Date</t>
  </si>
  <si>
    <t xml:space="preserve">Team 1</t>
  </si>
  <si>
    <t xml:space="preserve">Team 2</t>
  </si>
  <si>
    <t xml:space="preserve">Venue</t>
  </si>
  <si>
    <t xml:space="preserve">Winner</t>
  </si>
  <si>
    <t xml:space="preserve">Royal Challengers</t>
  </si>
  <si>
    <t xml:space="preserve">Chennai Super Kings</t>
  </si>
  <si>
    <t xml:space="preserve">Wankhede Stadium</t>
  </si>
  <si>
    <t xml:space="preserve">Delhi Capitals</t>
  </si>
  <si>
    <t xml:space="preserve">Narendra Modi Stadium</t>
  </si>
  <si>
    <t xml:space="preserve">Gujarat Titans</t>
  </si>
  <si>
    <t xml:space="preserve">M Chinnaswamy Stadium</t>
  </si>
  <si>
    <t xml:space="preserve">Kolkata Knight Riders</t>
  </si>
  <si>
    <t xml:space="preserve">Mumbai Indians</t>
  </si>
  <si>
    <t xml:space="preserve">Eden Gardens</t>
  </si>
  <si>
    <t xml:space="preserve">Song</t>
  </si>
  <si>
    <t xml:space="preserve">Artist</t>
  </si>
  <si>
    <t xml:space="preserve">Album</t>
  </si>
  <si>
    <t xml:space="preserve">Kesariya</t>
  </si>
  <si>
    <t xml:space="preserve">Arijit Singh</t>
  </si>
  <si>
    <t xml:space="preserve">Brahmastra</t>
  </si>
  <si>
    <t xml:space="preserve">  Shape of You </t>
  </si>
  <si>
    <t xml:space="preserve">Ed Sheeran</t>
  </si>
  <si>
    <t xml:space="preserve">Divide</t>
  </si>
  <si>
    <t xml:space="preserve">Blinding Lights</t>
  </si>
  <si>
    <t xml:space="preserve"> The Weeknd</t>
  </si>
  <si>
    <t xml:space="preserve">After Hours</t>
  </si>
  <si>
    <t xml:space="preserve">Levitating</t>
  </si>
  <si>
    <t xml:space="preserve">Dua Lipa </t>
  </si>
  <si>
    <t xml:space="preserve">Future Nostalgia</t>
  </si>
  <si>
    <t xml:space="preserve">Tum Hi Ho</t>
  </si>
  <si>
    <t xml:space="preserve">Arijit  Singh</t>
  </si>
  <si>
    <t xml:space="preserve">Aashiqui 2</t>
  </si>
  <si>
    <t xml:space="preserve">Shape of You</t>
  </si>
  <si>
    <t xml:space="preserve">Believer</t>
  </si>
  <si>
    <t xml:space="preserve">Imagine Dragons</t>
  </si>
  <si>
    <t xml:space="preserve">Evolve</t>
  </si>
  <si>
    <t xml:space="preserve">  Believer</t>
  </si>
  <si>
    <t xml:space="preserve">The Weeknd</t>
  </si>
  <si>
    <t xml:space="preserve">Dua Lipa</t>
  </si>
  <si>
    <t xml:space="preserve">Order</t>
  </si>
  <si>
    <t xml:space="preserve">Product</t>
  </si>
  <si>
    <t xml:space="preserve">Units</t>
  </si>
  <si>
    <t xml:space="preserve">Revenue</t>
  </si>
  <si>
    <t xml:space="preserve">FK100</t>
  </si>
  <si>
    <t xml:space="preserve">Boat Airdopes</t>
  </si>
  <si>
    <t xml:space="preserve">FK101</t>
  </si>
  <si>
    <t xml:space="preserve">Puma Shoes</t>
  </si>
  <si>
    <t xml:space="preserve">FK102</t>
  </si>
  <si>
    <t xml:space="preserve">FK103</t>
  </si>
  <si>
    <t xml:space="preserve">Air Fryer</t>
  </si>
  <si>
    <t xml:space="preserve">FK104</t>
  </si>
  <si>
    <t xml:space="preserve">FK105</t>
  </si>
  <si>
    <t xml:space="preserve">Redmi Phone</t>
  </si>
  <si>
    <t xml:space="preserve">FK106</t>
  </si>
  <si>
    <t xml:space="preserve">Smartwatch</t>
  </si>
  <si>
    <t xml:space="preserve">FK107</t>
  </si>
  <si>
    <t xml:space="preserve">FK108</t>
  </si>
  <si>
    <t xml:space="preserve">FK109</t>
  </si>
  <si>
    <t xml:space="preserve">FK110</t>
  </si>
  <si>
    <t xml:space="preserve">FK111</t>
  </si>
  <si>
    <t xml:space="preserve">FK112</t>
  </si>
  <si>
    <t xml:space="preserve">FK113</t>
  </si>
  <si>
    <t xml:space="preserve">FK114</t>
  </si>
  <si>
    <t xml:space="preserve">FK115</t>
  </si>
  <si>
    <t xml:space="preserve">FK116</t>
  </si>
  <si>
    <t xml:space="preserve">FK117</t>
  </si>
  <si>
    <t xml:space="preserve">FK118</t>
  </si>
  <si>
    <t xml:space="preserve">FK119</t>
  </si>
  <si>
    <t xml:space="preserve">FK120</t>
  </si>
  <si>
    <t xml:space="preserve">FK121</t>
  </si>
  <si>
    <t xml:space="preserve">FK122</t>
  </si>
  <si>
    <t xml:space="preserve">FK123</t>
  </si>
  <si>
    <t xml:space="preserve">FK124</t>
  </si>
  <si>
    <t xml:space="preserve">FK125</t>
  </si>
  <si>
    <t xml:space="preserve">FK126</t>
  </si>
  <si>
    <t xml:space="preserve">FK127</t>
  </si>
  <si>
    <t xml:space="preserve">FK128</t>
  </si>
  <si>
    <t xml:space="preserve">FK129</t>
  </si>
  <si>
    <t xml:space="preserve">FK130</t>
  </si>
  <si>
    <t xml:space="preserve">FK131</t>
  </si>
  <si>
    <t xml:space="preserve">FK132</t>
  </si>
  <si>
    <t xml:space="preserve">FK133</t>
  </si>
  <si>
    <t xml:space="preserve">FK134</t>
  </si>
  <si>
    <t xml:space="preserve">FK135</t>
  </si>
  <si>
    <t xml:space="preserve">FK136</t>
  </si>
  <si>
    <t xml:space="preserve">FK137</t>
  </si>
  <si>
    <t xml:space="preserve">FK138</t>
  </si>
  <si>
    <t xml:space="preserve">FK139</t>
  </si>
  <si>
    <t xml:space="preserve">SALES DASHBOARD</t>
  </si>
  <si>
    <t xml:space="preserve">Run AddRefreshButton to place the 'Refresh Dashboard' button here (H2).</t>
  </si>
  <si>
    <t xml:space="preserve">Revenue (Rs)</t>
  </si>
  <si>
    <t xml:space="preserve">Sheet name must stay 'Dashboard' for ExportDashboardPDF.</t>
  </si>
  <si>
    <t xml:space="preserve">VBA code - paste into a module (Alt+F11 &gt; Insert &gt; Module) or import the matching .bas file (File &gt; Import File)</t>
  </si>
  <si>
    <t xml:space="preserve">Macro / VBA code</t>
  </si>
  <si>
    <t xml:space="preserve">Sub FormatIPLData()
' Bold headers, auto-fit columns and borders around the whole table
    Dim ws As Worksheet
    Set ws = ActiveSheet
    ws.Rows(1).Font.Bold = True
    ws.UsedRange.Borders.LineStyle = xlContinuous
    ws.UsedRange.Columns.AutoFit
End Sub</t>
  </si>
  <si>
    <t xml:space="preserve">Sub CleanPlaylistData()
' Trims extra spaces in every text cell, then removes duplicate rows (header in row 1)
    Dim ws As Worksheet, rng As Range, c As Range
    Dim lastRow As Long, lastCol As Long, i As Long, before As Long
    Dim cols() As Variant
    Set ws = ActiveSheet
    lastRow = ws.Cells(ws.Rows.Count, 1).End(xlUp).Row
    lastCol = ws.Cells(1, ws.Columns.Count).End(xlToLeft).Column
    Set rng = ws.Range(ws.Cells(1, 1), ws.Cells(lastRow, lastCol))
    before = lastRow - 1
    For Each c In rng.Cells
        If VarType(c.Value) = vbString Then c.Value = Application.WorksheetFunction.Trim(c.Value)
    Next c
    ReDim cols(0 To lastCol - 1)
    For i = 0 To lastCol - 1
        cols(i) = i + 1
    Next i
    rng.RemoveDuplicates Columns:=cols, Header:=xlYes
    lastRow = ws.Cells(ws.Rows.Count, 1).End(xlUp).Row
    MsgBox "Duplicates removed: " &amp; (before - (lastRow - 1)), vbInformation, "CleanPlaylistData"
End Sub</t>
  </si>
  <si>
    <t xml:space="preserve">Sub RefreshDashboard()
' Refreshes every PivotTable and chart in the workbook (run from the dashboard button)
    Dim ws As Worksheet, pt As PivotTable, co As ChartObject
    Application.ScreenUpdating = False
    For Each ws In ThisWorkbook.Worksheets
        For Each pt In ws.PivotTables
            pt.RefreshTable
        Next pt
    Next ws
    For Each ws In ThisWorkbook.Worksheets
        For Each co In ws.ChartObjects
            co.Chart.Refresh
        Next co
    Next ws
    Application.ScreenUpdating = True
    MsgBox "Dashboard refreshed.", vbInformation
End Sub
Sub AddRefreshButton()
' Creates the button on the active sheet and assigns RefreshDashboard to it
    Dim btn As Button
    Set btn = ActiveSheet.Buttons.Add(Range("H2").Left, Range("H2").Top, 130, 30)
    btn.Caption = "Refresh Dashboard"
    btn.OnAction = "RefreshDashboard"
End Sub</t>
  </si>
  <si>
    <t xml:space="preserve">Sub ExportDashboardPDF()
' Exports the 'Dashboard' sheet to the Desktop as Zomato_Sales_Dashboard.pdf with error handling
    Dim ws As Worksheet, desktopPath As String, filePath As String
    On Error Resume Next
    Set ws = ThisWorkbook.Worksheets("Dashboard")
    On Error GoTo 0
    If ws Is Nothing Then
        MsgBox "Sheet 'Dashboard' was not found.", vbExclamation
        Exit Sub
    End If
    desktopPath = CreateObject("WScript.Shell").SpecialFolders("Desktop")
    filePath = desktopPath &amp; "\Zomato_Sales_Dashboard.pdf"
    Err.Clear
    On Error Resume Next
    ws.ExportAsFixedFormat Type:=xlTypePDF, Filename:=filePath, Quality:=xlQualityStandard, _
                           IncludeDocProperties:=True, IgnorePrintAreas:=False, OpenAfterPublish:=False
    If Err.Number &lt;&gt; 0 Then
        MsgBox "The PDF could not be saved:" &amp; vbCrLf &amp; Err.Description, vbCritical
    Else
        MsgBox "PDF saved to:" &amp; vbCrLf &amp; filePath, vbInformation
    End If
    On Error GoTo 0
End Sub</t>
  </si>
  <si>
    <t xml:space="preserve">Sub RefreshPowerQueryData()
' Prompt used with ChatGPT/Copilot: "Write a VBA macro that refreshes a Power Query data source
' and then displays a message box saying 'Data refreshed successfully!'"
    Dim cn As WorkbookConnection
    On Error GoTo ErrHandler
    For Each cn In ThisWorkbook.Connections
        If cn.Type = xlConnectionTypeOLEDB Then cn.OLEDBConnection.BackgroundQuery = False   ' wait for completion
    Next cn
    ThisWorkbook.RefreshAll
    Application.CalculateUntilAsyncQueriesDone
    MsgBox "Data refreshed successfully!", vbInformation
    Exit Sub
ErrHandler:
    MsgBox "Refresh failed: " &amp; Err.Description, vbCritical
End Sub</t>
  </si>
  <si>
    <t xml:space="preserve">Filter</t>
  </si>
  <si>
    <t xml:space="preserve">Sum - Revenue</t>
  </si>
  <si>
    <t xml:space="preserve">Grand Total</t>
  </si>
</sst>
</file>

<file path=xl/styles.xml><?xml version="1.0" encoding="utf-8"?>
<styleSheet xmlns="http://schemas.openxmlformats.org/spreadsheetml/2006/main">
  <numFmts count="3">
    <numFmt numFmtId="164" formatCode="General"/>
    <numFmt numFmtId="165" formatCode="dd\-mmm\-yyyy"/>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4"/>
      <color rgb="FF1F3864"/>
      <name val="Arial"/>
      <family val="0"/>
      <charset val="1"/>
    </font>
    <font>
      <i val="true"/>
      <sz val="10"/>
      <color rgb="FF595959"/>
      <name val="Arial"/>
      <family val="0"/>
      <charset val="1"/>
    </font>
    <font>
      <b val="true"/>
      <sz val="10"/>
      <color rgb="FFFFFFFF"/>
      <name val="Arial"/>
      <family val="0"/>
      <charset val="1"/>
    </font>
    <font>
      <sz val="10"/>
      <color theme="1"/>
      <name val="Arial"/>
      <family val="2"/>
      <charset val="1"/>
    </font>
    <font>
      <b val="true"/>
      <sz val="16"/>
      <color rgb="FF1F3864"/>
      <name val="Arial"/>
      <family val="0"/>
      <charset val="1"/>
    </font>
    <font>
      <b val="true"/>
      <sz val="18"/>
      <color rgb="FF000000"/>
      <name val="Calibri"/>
      <family val="2"/>
    </font>
    <font>
      <sz val="10"/>
      <color rgb="FF000000"/>
      <name val="Calibri"/>
      <family val="2"/>
    </font>
    <font>
      <b val="true"/>
      <sz val="12"/>
      <color rgb="FF1F3864"/>
      <name val="Arial"/>
      <family val="0"/>
      <charset val="1"/>
    </font>
    <font>
      <sz val="9"/>
      <name val="Arial"/>
      <family val="0"/>
      <charset val="1"/>
    </font>
  </fonts>
  <fills count="3">
    <fill>
      <patternFill patternType="none"/>
    </fill>
    <fill>
      <patternFill patternType="gray125"/>
    </fill>
    <fill>
      <patternFill patternType="solid">
        <fgColor rgb="FF1F3864"/>
        <bgColor rgb="FF333333"/>
      </patternFill>
    </fill>
  </fills>
  <borders count="11">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0" applyFont="true" applyBorder="true" applyAlignment="false" applyProtection="false">
      <alignment horizontal="general" vertical="bottom" textRotation="0" wrapText="false" indent="0" shrinkToFit="false"/>
      <protection locked="true" hidden="false"/>
    </xf>
    <xf numFmtId="164" fontId="0" fillId="0" borderId="4" xfId="23" applyFont="true" applyBorder="true" applyAlignment="false" applyProtection="false">
      <alignment horizontal="left" vertical="bottom" textRotation="0" wrapText="false" indent="0" shrinkToFit="false"/>
      <protection locked="true" hidden="false"/>
    </xf>
    <xf numFmtId="166" fontId="0" fillId="0" borderId="5" xfId="21" applyFont="false" applyBorder="true" applyAlignment="false" applyProtection="false">
      <alignment horizontal="general" vertical="bottom" textRotation="0" wrapText="false" indent="0" shrinkToFit="false"/>
      <protection locked="true" hidden="false"/>
    </xf>
    <xf numFmtId="164" fontId="0" fillId="0" borderId="6" xfId="23" applyFont="true" applyBorder="true" applyAlignment="false" applyProtection="false">
      <alignment horizontal="left" vertical="bottom" textRotation="0" wrapText="false" indent="0" shrinkToFit="false"/>
      <protection locked="true" hidden="false"/>
    </xf>
    <xf numFmtId="166" fontId="0" fillId="0" borderId="7" xfId="21" applyFont="false" applyBorder="true" applyAlignment="false" applyProtection="false">
      <alignment horizontal="general" vertical="bottom" textRotation="0" wrapText="false" indent="0" shrinkToFit="false"/>
      <protection locked="true" hidden="false"/>
    </xf>
    <xf numFmtId="166" fontId="0" fillId="0" borderId="8" xfId="21" applyFont="false" applyBorder="true" applyAlignment="false" applyProtection="false">
      <alignment horizontal="general"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6" fontId="4" fillId="0" borderId="10" xfId="25"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Relationship Id="rId12" Type="http://schemas.openxmlformats.org/officeDocument/2006/relationships/pivotCacheDefinition" Target="pivotCache/pivotCacheDefinition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product</a:t>
            </a:r>
          </a:p>
        </c:rich>
      </c:tx>
      <c:overlay val="0"/>
      <c:spPr>
        <a:noFill/>
        <a:ln w="0">
          <a:noFill/>
        </a:ln>
      </c:spPr>
    </c:title>
    <c:autoTitleDeleted val="0"/>
    <c:plotArea>
      <c:barChart>
        <c:barDir val="col"/>
        <c:grouping val="clustered"/>
        <c:varyColors val="0"/>
        <c:ser>
          <c:idx val="0"/>
          <c:order val="0"/>
          <c:tx>
            <c:strRef>
              <c:f>Dashboard!B3</c:f>
              <c:strCache>
                <c:ptCount val="1"/>
                <c:pt idx="0">
                  <c:v>Revenue (Rs)</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Dashboard!$A$4:$A$8</c:f>
              <c:strCache>
                <c:ptCount val="5"/>
                <c:pt idx="0">
                  <c:v>Boat Airdopes</c:v>
                </c:pt>
                <c:pt idx="1">
                  <c:v>Redmi Phone</c:v>
                </c:pt>
                <c:pt idx="2">
                  <c:v>Puma Shoes</c:v>
                </c:pt>
                <c:pt idx="3">
                  <c:v>Air Fryer</c:v>
                </c:pt>
                <c:pt idx="4">
                  <c:v>Smartwatch</c:v>
                </c:pt>
              </c:strCache>
            </c:strRef>
          </c:cat>
          <c:val>
            <c:numRef>
              <c:f>Dashboard!$B$4:$B$8</c:f>
              <c:numCache>
                <c:formatCode>#,##0</c:formatCode>
                <c:ptCount val="5"/>
                <c:pt idx="0">
                  <c:v>40269</c:v>
                </c:pt>
                <c:pt idx="1">
                  <c:v>424975</c:v>
                </c:pt>
                <c:pt idx="2">
                  <c:v>67473</c:v>
                </c:pt>
                <c:pt idx="3">
                  <c:v>191880</c:v>
                </c:pt>
                <c:pt idx="4">
                  <c:v>46179</c:v>
                </c:pt>
              </c:numCache>
            </c:numRef>
          </c:val>
        </c:ser>
        <c:gapWidth val="150"/>
        <c:overlap val="0"/>
        <c:axId val="99302311"/>
        <c:axId val="25038165"/>
      </c:barChart>
      <c:catAx>
        <c:axId val="993023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038165"/>
        <c:crosses val="autoZero"/>
        <c:auto val="1"/>
        <c:lblAlgn val="ctr"/>
        <c:lblOffset val="100"/>
        <c:noMultiLvlLbl val="0"/>
      </c:catAx>
      <c:valAx>
        <c:axId val="2503816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3023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130680</xdr:rowOff>
    </xdr:from>
    <xdr:to>
      <xdr:col>7</xdr:col>
      <xdr:colOff>2233800</xdr:colOff>
      <xdr:row>15</xdr:row>
      <xdr:rowOff>163440</xdr:rowOff>
    </xdr:to>
    <xdr:graphicFrame>
      <xdr:nvGraphicFramePr>
        <xdr:cNvPr id="0" name="Chart 1"/>
        <xdr:cNvGraphicFramePr/>
      </xdr:nvGraphicFramePr>
      <xdr:xfrm>
        <a:off x="4981680" y="380880"/>
        <a:ext cx="46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40" createdVersion="3">
  <cacheSource type="worksheet">
    <worksheetSource ref="A1:D41" sheet="Sales_Data"/>
  </cacheSource>
  <cacheFields count="4">
    <cacheField name="Order" numFmtId="0">
      <sharedItems count="40">
        <s v="FK100"/>
        <s v="FK101"/>
        <s v="FK102"/>
        <s v="FK103"/>
        <s v="FK104"/>
        <s v="FK105"/>
        <s v="FK106"/>
        <s v="FK107"/>
        <s v="FK108"/>
        <s v="FK109"/>
        <s v="FK110"/>
        <s v="FK111"/>
        <s v="FK112"/>
        <s v="FK113"/>
        <s v="FK114"/>
        <s v="FK115"/>
        <s v="FK116"/>
        <s v="FK117"/>
        <s v="FK118"/>
        <s v="FK119"/>
        <s v="FK120"/>
        <s v="FK121"/>
        <s v="FK122"/>
        <s v="FK123"/>
        <s v="FK124"/>
        <s v="FK125"/>
        <s v="FK126"/>
        <s v="FK127"/>
        <s v="FK128"/>
        <s v="FK129"/>
        <s v="FK130"/>
        <s v="FK131"/>
        <s v="FK132"/>
        <s v="FK133"/>
        <s v="FK134"/>
        <s v="FK135"/>
        <s v="FK136"/>
        <s v="FK137"/>
        <s v="FK138"/>
        <s v="FK139"/>
      </sharedItems>
    </cacheField>
    <cacheField name="Product" numFmtId="0">
      <sharedItems count="5">
        <s v="Air Fryer"/>
        <s v="Boat Airdopes"/>
        <s v="Puma Shoes"/>
        <s v="Redmi Phone"/>
        <s v="Smartwatch"/>
      </sharedItems>
    </cacheField>
    <cacheField name="Units" numFmtId="0">
      <sharedItems containsSemiMixedTypes="0" containsString="0" containsNumber="1" containsInteger="1" minValue="1" maxValue="5" count="5">
        <n v="1"/>
        <n v="2"/>
        <n v="3"/>
        <n v="4"/>
        <n v="5"/>
      </sharedItems>
    </cacheField>
    <cacheField name="Revenue" numFmtId="0">
      <sharedItems containsSemiMixedTypes="0" containsString="0" containsNumber="1" containsInteger="1" minValue="1299" maxValue="84995" count="22">
        <n v="1299"/>
        <n v="2199"/>
        <n v="2499"/>
        <n v="2598"/>
        <n v="3897"/>
        <n v="4398"/>
        <n v="4998"/>
        <n v="5196"/>
        <n v="6495"/>
        <n v="6597"/>
        <n v="7497"/>
        <n v="8796"/>
        <n v="9996"/>
        <n v="10995"/>
        <n v="12495"/>
        <n v="16999"/>
        <n v="23985"/>
        <n v="31980"/>
        <n v="33998"/>
        <n v="39975"/>
        <n v="67996"/>
        <n v="84995"/>
      </sharedItems>
    </cacheField>
  </cacheFields>
</pivotCacheDefinition>
</file>

<file path=xl/pivotCache/pivotCacheRecords1.xml><?xml version="1.0" encoding="utf-8"?>
<pivotCacheRecords xmlns="http://schemas.openxmlformats.org/spreadsheetml/2006/main" xmlns:r="http://schemas.openxmlformats.org/officeDocument/2006/relationships" count="40">
  <r>
    <x v="0"/>
    <x v="1"/>
    <x v="3"/>
    <x v="7"/>
  </r>
  <r>
    <x v="1"/>
    <x v="2"/>
    <x v="1"/>
    <x v="6"/>
  </r>
  <r>
    <x v="2"/>
    <x v="1"/>
    <x v="3"/>
    <x v="7"/>
  </r>
  <r>
    <x v="3"/>
    <x v="0"/>
    <x v="3"/>
    <x v="17"/>
  </r>
  <r>
    <x v="4"/>
    <x v="1"/>
    <x v="3"/>
    <x v="7"/>
  </r>
  <r>
    <x v="5"/>
    <x v="3"/>
    <x v="3"/>
    <x v="20"/>
  </r>
  <r>
    <x v="6"/>
    <x v="4"/>
    <x v="4"/>
    <x v="13"/>
  </r>
  <r>
    <x v="7"/>
    <x v="2"/>
    <x v="0"/>
    <x v="2"/>
  </r>
  <r>
    <x v="8"/>
    <x v="3"/>
    <x v="0"/>
    <x v="15"/>
  </r>
  <r>
    <x v="9"/>
    <x v="1"/>
    <x v="1"/>
    <x v="3"/>
  </r>
  <r>
    <x v="10"/>
    <x v="3"/>
    <x v="1"/>
    <x v="18"/>
  </r>
  <r>
    <x v="11"/>
    <x v="3"/>
    <x v="1"/>
    <x v="18"/>
  </r>
  <r>
    <x v="12"/>
    <x v="2"/>
    <x v="1"/>
    <x v="6"/>
  </r>
  <r>
    <x v="13"/>
    <x v="3"/>
    <x v="4"/>
    <x v="21"/>
  </r>
  <r>
    <x v="14"/>
    <x v="4"/>
    <x v="4"/>
    <x v="13"/>
  </r>
  <r>
    <x v="15"/>
    <x v="4"/>
    <x v="3"/>
    <x v="11"/>
  </r>
  <r>
    <x v="16"/>
    <x v="2"/>
    <x v="2"/>
    <x v="10"/>
  </r>
  <r>
    <x v="17"/>
    <x v="2"/>
    <x v="3"/>
    <x v="12"/>
  </r>
  <r>
    <x v="18"/>
    <x v="0"/>
    <x v="3"/>
    <x v="17"/>
  </r>
  <r>
    <x v="19"/>
    <x v="0"/>
    <x v="3"/>
    <x v="17"/>
  </r>
  <r>
    <x v="20"/>
    <x v="0"/>
    <x v="3"/>
    <x v="17"/>
  </r>
  <r>
    <x v="21"/>
    <x v="2"/>
    <x v="4"/>
    <x v="14"/>
  </r>
  <r>
    <x v="22"/>
    <x v="1"/>
    <x v="2"/>
    <x v="4"/>
  </r>
  <r>
    <x v="23"/>
    <x v="0"/>
    <x v="2"/>
    <x v="16"/>
  </r>
  <r>
    <x v="24"/>
    <x v="1"/>
    <x v="4"/>
    <x v="8"/>
  </r>
  <r>
    <x v="25"/>
    <x v="4"/>
    <x v="1"/>
    <x v="5"/>
  </r>
  <r>
    <x v="26"/>
    <x v="4"/>
    <x v="0"/>
    <x v="1"/>
  </r>
  <r>
    <x v="27"/>
    <x v="3"/>
    <x v="4"/>
    <x v="21"/>
  </r>
  <r>
    <x v="28"/>
    <x v="2"/>
    <x v="4"/>
    <x v="14"/>
  </r>
  <r>
    <x v="29"/>
    <x v="1"/>
    <x v="2"/>
    <x v="4"/>
  </r>
  <r>
    <x v="30"/>
    <x v="4"/>
    <x v="0"/>
    <x v="1"/>
  </r>
  <r>
    <x v="31"/>
    <x v="1"/>
    <x v="4"/>
    <x v="8"/>
  </r>
  <r>
    <x v="32"/>
    <x v="3"/>
    <x v="0"/>
    <x v="15"/>
  </r>
  <r>
    <x v="33"/>
    <x v="2"/>
    <x v="1"/>
    <x v="6"/>
  </r>
  <r>
    <x v="34"/>
    <x v="4"/>
    <x v="2"/>
    <x v="9"/>
  </r>
  <r>
    <x v="35"/>
    <x v="1"/>
    <x v="0"/>
    <x v="0"/>
  </r>
  <r>
    <x v="36"/>
    <x v="0"/>
    <x v="4"/>
    <x v="19"/>
  </r>
  <r>
    <x v="37"/>
    <x v="3"/>
    <x v="4"/>
    <x v="21"/>
  </r>
  <r>
    <x v="38"/>
    <x v="2"/>
    <x v="1"/>
    <x v="6"/>
  </r>
  <r>
    <x v="39"/>
    <x v="2"/>
    <x v="0"/>
    <x v="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T_Sales" cacheId="1" applyNumberFormats="0" applyBorderFormats="0" applyFontFormats="0" applyPatternFormats="0" applyAlignmentFormats="0" applyWidthHeightFormats="0" dataCaption="Values" showDrill="0" useAutoFormatting="0" itemPrintTitles="1" indent="0" outline="1" outlineData="1" compact="1" compactData="1">
  <location ref="A4:B10" firstHeaderRow="1" firstDataRow="1" firstDataCol="1"/>
  <pivotFields count="4">
    <pivotField compact="0" showAll="0"/>
    <pivotField axis="axisRow" compact="0" showAll="0" defaultSubtotal="0">
      <items count="5">
        <item x="0"/>
        <item x="1"/>
        <item x="2"/>
        <item x="3"/>
        <item x="4"/>
      </items>
    </pivotField>
    <pivotField compact="0" showAll="0"/>
    <pivotField dataField="1" compact="0" showAll="0"/>
  </pivotFields>
  <rowFields count="1">
    <field x="1"/>
  </rowFields>
  <dataFields count="1">
    <dataField name="Sum - Revenue" fld="3" subtotal="sum" numFmtId="166"/>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5"/>
    <col collapsed="false" customWidth="true" hidden="false" outlineLevel="0" max="3" min="3" style="0" width="22"/>
    <col collapsed="false" customWidth="true" hidden="false" outlineLevel="0" max="4" min="4"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23.85" hidden="false" customHeight="false" outlineLevel="0" collapsed="false">
      <c r="A5" s="4" t="s">
        <v>6</v>
      </c>
      <c r="B5" s="4" t="s">
        <v>7</v>
      </c>
      <c r="C5" s="4" t="s">
        <v>8</v>
      </c>
      <c r="D5" s="4" t="s">
        <v>9</v>
      </c>
    </row>
    <row r="6" customFormat="false" ht="23.85" hidden="false" customHeight="false" outlineLevel="0" collapsed="false">
      <c r="A6" s="4" t="s">
        <v>10</v>
      </c>
      <c r="B6" s="4" t="s">
        <v>11</v>
      </c>
      <c r="C6" s="4" t="s">
        <v>12</v>
      </c>
      <c r="D6" s="4" t="s">
        <v>13</v>
      </c>
    </row>
    <row r="7" customFormat="false" ht="23.85" hidden="false" customHeight="false" outlineLevel="0" collapsed="false">
      <c r="A7" s="4" t="s">
        <v>14</v>
      </c>
      <c r="B7" s="4" t="s">
        <v>15</v>
      </c>
      <c r="C7" s="4" t="s">
        <v>16</v>
      </c>
      <c r="D7" s="4" t="s">
        <v>17</v>
      </c>
    </row>
    <row r="8" customFormat="false" ht="23.85" hidden="false" customHeight="false" outlineLevel="0" collapsed="false">
      <c r="A8" s="4" t="s">
        <v>18</v>
      </c>
      <c r="B8" s="4" t="s">
        <v>19</v>
      </c>
      <c r="C8" s="4" t="s">
        <v>16</v>
      </c>
      <c r="D8" s="4" t="s">
        <v>20</v>
      </c>
    </row>
    <row r="9" customFormat="false" ht="35.05" hidden="false" customHeight="false" outlineLevel="0" collapsed="false">
      <c r="A9" s="4" t="s">
        <v>21</v>
      </c>
      <c r="B9" s="4" t="s">
        <v>22</v>
      </c>
      <c r="C9" s="4" t="s">
        <v>23</v>
      </c>
      <c r="D9" s="4" t="s">
        <v>24</v>
      </c>
    </row>
    <row r="10" customFormat="false" ht="23.85" hidden="false" customHeight="false" outlineLevel="0" collapsed="false">
      <c r="A10" s="4" t="s">
        <v>25</v>
      </c>
      <c r="B10" s="4" t="s">
        <v>26</v>
      </c>
      <c r="C10" s="4" t="s">
        <v>25</v>
      </c>
      <c r="D10" s="4"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5" min="2" style="0" width="24"/>
  </cols>
  <sheetData>
    <row r="1" customFormat="false" ht="15" hidden="false" customHeight="false" outlineLevel="0" collapsed="false">
      <c r="A1" s="5" t="s">
        <v>28</v>
      </c>
      <c r="B1" s="5" t="s">
        <v>29</v>
      </c>
      <c r="C1" s="5" t="s">
        <v>30</v>
      </c>
      <c r="D1" s="5" t="s">
        <v>31</v>
      </c>
      <c r="E1" s="5" t="s">
        <v>32</v>
      </c>
    </row>
    <row r="2" customFormat="false" ht="15" hidden="false" customHeight="false" outlineLevel="0" collapsed="false">
      <c r="A2" s="6" t="n">
        <v>46103</v>
      </c>
      <c r="B2" s="5" t="s">
        <v>33</v>
      </c>
      <c r="C2" s="5" t="s">
        <v>34</v>
      </c>
      <c r="D2" s="5" t="s">
        <v>35</v>
      </c>
      <c r="E2" s="5" t="s">
        <v>34</v>
      </c>
    </row>
    <row r="3" customFormat="false" ht="15" hidden="false" customHeight="false" outlineLevel="0" collapsed="false">
      <c r="A3" s="6" t="n">
        <v>46106</v>
      </c>
      <c r="B3" s="5" t="s">
        <v>36</v>
      </c>
      <c r="C3" s="5" t="s">
        <v>33</v>
      </c>
      <c r="D3" s="5" t="s">
        <v>37</v>
      </c>
      <c r="E3" s="5" t="s">
        <v>33</v>
      </c>
    </row>
    <row r="4" customFormat="false" ht="15" hidden="false" customHeight="false" outlineLevel="0" collapsed="false">
      <c r="A4" s="6" t="n">
        <v>46109</v>
      </c>
      <c r="B4" s="5" t="s">
        <v>34</v>
      </c>
      <c r="C4" s="5" t="s">
        <v>38</v>
      </c>
      <c r="D4" s="5" t="s">
        <v>39</v>
      </c>
      <c r="E4" s="5" t="s">
        <v>34</v>
      </c>
    </row>
    <row r="5" customFormat="false" ht="15" hidden="false" customHeight="false" outlineLevel="0" collapsed="false">
      <c r="A5" s="6" t="n">
        <v>46112</v>
      </c>
      <c r="B5" s="5" t="s">
        <v>40</v>
      </c>
      <c r="C5" s="5" t="s">
        <v>34</v>
      </c>
      <c r="D5" s="5" t="s">
        <v>35</v>
      </c>
      <c r="E5" s="5" t="s">
        <v>34</v>
      </c>
    </row>
    <row r="6" customFormat="false" ht="15" hidden="false" customHeight="false" outlineLevel="0" collapsed="false">
      <c r="A6" s="6" t="n">
        <v>46115</v>
      </c>
      <c r="B6" s="5" t="s">
        <v>41</v>
      </c>
      <c r="C6" s="5" t="s">
        <v>40</v>
      </c>
      <c r="D6" s="5" t="s">
        <v>42</v>
      </c>
      <c r="E6" s="5" t="s">
        <v>40</v>
      </c>
    </row>
    <row r="7" customFormat="false" ht="15" hidden="false" customHeight="false" outlineLevel="0" collapsed="false">
      <c r="A7" s="6" t="n">
        <v>46118</v>
      </c>
      <c r="B7" s="5" t="s">
        <v>40</v>
      </c>
      <c r="C7" s="5" t="s">
        <v>34</v>
      </c>
      <c r="D7" s="5" t="s">
        <v>37</v>
      </c>
      <c r="E7" s="5" t="s">
        <v>34</v>
      </c>
    </row>
    <row r="8" customFormat="false" ht="15" hidden="false" customHeight="false" outlineLevel="0" collapsed="false">
      <c r="A8" s="6" t="n">
        <v>46121</v>
      </c>
      <c r="B8" s="5" t="s">
        <v>33</v>
      </c>
      <c r="C8" s="5" t="s">
        <v>38</v>
      </c>
      <c r="D8" s="5" t="s">
        <v>35</v>
      </c>
      <c r="E8" s="5" t="s">
        <v>33</v>
      </c>
    </row>
    <row r="9" customFormat="false" ht="15" hidden="false" customHeight="false" outlineLevel="0" collapsed="false">
      <c r="A9" s="6" t="n">
        <v>46124</v>
      </c>
      <c r="B9" s="5" t="s">
        <v>40</v>
      </c>
      <c r="C9" s="5" t="s">
        <v>33</v>
      </c>
      <c r="D9" s="5" t="s">
        <v>37</v>
      </c>
      <c r="E9" s="5" t="s">
        <v>40</v>
      </c>
    </row>
    <row r="10" customFormat="false" ht="15" hidden="false" customHeight="false" outlineLevel="0" collapsed="false">
      <c r="A10" s="6" t="n">
        <v>46127</v>
      </c>
      <c r="B10" s="5" t="s">
        <v>33</v>
      </c>
      <c r="C10" s="5" t="s">
        <v>40</v>
      </c>
      <c r="D10" s="5" t="s">
        <v>37</v>
      </c>
      <c r="E10" s="5" t="s">
        <v>33</v>
      </c>
    </row>
    <row r="11" customFormat="false" ht="15" hidden="false" customHeight="false" outlineLevel="0" collapsed="false">
      <c r="A11" s="6" t="n">
        <v>46130</v>
      </c>
      <c r="B11" s="5" t="s">
        <v>36</v>
      </c>
      <c r="C11" s="5" t="s">
        <v>34</v>
      </c>
      <c r="D11" s="5" t="s">
        <v>35</v>
      </c>
      <c r="E11" s="5" t="s">
        <v>36</v>
      </c>
    </row>
    <row r="12" customFormat="false" ht="15" hidden="false" customHeight="false" outlineLevel="0" collapsed="false">
      <c r="A12" s="6" t="n">
        <v>46133</v>
      </c>
      <c r="B12" s="5" t="s">
        <v>40</v>
      </c>
      <c r="C12" s="5" t="s">
        <v>41</v>
      </c>
      <c r="D12" s="5" t="s">
        <v>39</v>
      </c>
      <c r="E12" s="5" t="s">
        <v>41</v>
      </c>
    </row>
    <row r="13" customFormat="false" ht="15" hidden="false" customHeight="false" outlineLevel="0" collapsed="false">
      <c r="A13" s="6" t="n">
        <v>46136</v>
      </c>
      <c r="B13" s="5" t="s">
        <v>33</v>
      </c>
      <c r="C13" s="5" t="s">
        <v>36</v>
      </c>
      <c r="D13" s="5" t="s">
        <v>39</v>
      </c>
      <c r="E13" s="5"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19"/>
  </cols>
  <sheetData>
    <row r="1" customFormat="false" ht="15" hidden="false" customHeight="false" outlineLevel="0" collapsed="false">
      <c r="A1" s="5" t="s">
        <v>43</v>
      </c>
      <c r="B1" s="5" t="s">
        <v>44</v>
      </c>
      <c r="C1" s="5" t="s">
        <v>45</v>
      </c>
    </row>
    <row r="2" customFormat="false" ht="15" hidden="false" customHeight="false" outlineLevel="0" collapsed="false">
      <c r="A2" s="5" t="s">
        <v>46</v>
      </c>
      <c r="B2" s="5" t="s">
        <v>47</v>
      </c>
      <c r="C2" s="5" t="s">
        <v>48</v>
      </c>
    </row>
    <row r="3" customFormat="false" ht="15" hidden="false" customHeight="false" outlineLevel="0" collapsed="false">
      <c r="A3" s="5" t="s">
        <v>49</v>
      </c>
      <c r="B3" s="5" t="s">
        <v>50</v>
      </c>
      <c r="C3" s="5" t="s">
        <v>51</v>
      </c>
    </row>
    <row r="4" customFormat="false" ht="15" hidden="false" customHeight="false" outlineLevel="0" collapsed="false">
      <c r="A4" s="5" t="s">
        <v>52</v>
      </c>
      <c r="B4" s="5" t="s">
        <v>53</v>
      </c>
      <c r="C4" s="5" t="s">
        <v>54</v>
      </c>
    </row>
    <row r="5" customFormat="false" ht="15" hidden="false" customHeight="false" outlineLevel="0" collapsed="false">
      <c r="A5" s="5" t="s">
        <v>46</v>
      </c>
      <c r="B5" s="5" t="s">
        <v>47</v>
      </c>
      <c r="C5" s="5" t="s">
        <v>48</v>
      </c>
    </row>
    <row r="6" customFormat="false" ht="15" hidden="false" customHeight="false" outlineLevel="0" collapsed="false">
      <c r="A6" s="5" t="s">
        <v>55</v>
      </c>
      <c r="B6" s="5" t="s">
        <v>56</v>
      </c>
      <c r="C6" s="5" t="s">
        <v>57</v>
      </c>
    </row>
    <row r="7" customFormat="false" ht="15" hidden="false" customHeight="false" outlineLevel="0" collapsed="false">
      <c r="A7" s="5" t="s">
        <v>58</v>
      </c>
      <c r="B7" s="5" t="s">
        <v>59</v>
      </c>
      <c r="C7" s="5" t="s">
        <v>60</v>
      </c>
    </row>
    <row r="8" customFormat="false" ht="15" hidden="false" customHeight="false" outlineLevel="0" collapsed="false">
      <c r="A8" s="5" t="s">
        <v>61</v>
      </c>
      <c r="B8" s="5" t="s">
        <v>50</v>
      </c>
      <c r="C8" s="5" t="s">
        <v>51</v>
      </c>
    </row>
    <row r="9" customFormat="false" ht="15" hidden="false" customHeight="false" outlineLevel="0" collapsed="false">
      <c r="A9" s="5" t="s">
        <v>62</v>
      </c>
      <c r="B9" s="5" t="s">
        <v>63</v>
      </c>
      <c r="C9" s="5" t="s">
        <v>64</v>
      </c>
    </row>
    <row r="10" customFormat="false" ht="15" hidden="false" customHeight="false" outlineLevel="0" collapsed="false">
      <c r="A10" s="5" t="s">
        <v>65</v>
      </c>
      <c r="B10" s="5" t="s">
        <v>63</v>
      </c>
      <c r="C10" s="5" t="s">
        <v>64</v>
      </c>
    </row>
    <row r="11" customFormat="false" ht="15" hidden="false" customHeight="false" outlineLevel="0" collapsed="false">
      <c r="A11" s="5" t="s">
        <v>58</v>
      </c>
      <c r="B11" s="5" t="s">
        <v>47</v>
      </c>
      <c r="C11" s="5"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19"/>
  </cols>
  <sheetData>
    <row r="1" customFormat="false" ht="15" hidden="false" customHeight="false" outlineLevel="0" collapsed="false">
      <c r="A1" s="3" t="s">
        <v>43</v>
      </c>
      <c r="B1" s="3" t="s">
        <v>44</v>
      </c>
      <c r="C1" s="3" t="s">
        <v>45</v>
      </c>
    </row>
    <row r="2" customFormat="false" ht="15" hidden="false" customHeight="false" outlineLevel="0" collapsed="false">
      <c r="A2" s="7" t="s">
        <v>46</v>
      </c>
      <c r="B2" s="7" t="s">
        <v>47</v>
      </c>
      <c r="C2" s="7" t="s">
        <v>48</v>
      </c>
    </row>
    <row r="3" customFormat="false" ht="15" hidden="false" customHeight="false" outlineLevel="0" collapsed="false">
      <c r="A3" s="7" t="s">
        <v>61</v>
      </c>
      <c r="B3" s="7" t="s">
        <v>50</v>
      </c>
      <c r="C3" s="7" t="s">
        <v>51</v>
      </c>
    </row>
    <row r="4" customFormat="false" ht="15" hidden="false" customHeight="false" outlineLevel="0" collapsed="false">
      <c r="A4" s="7" t="s">
        <v>52</v>
      </c>
      <c r="B4" s="7" t="s">
        <v>66</v>
      </c>
      <c r="C4" s="7" t="s">
        <v>54</v>
      </c>
    </row>
    <row r="5" customFormat="false" ht="15" hidden="false" customHeight="false" outlineLevel="0" collapsed="false">
      <c r="A5" s="7" t="s">
        <v>55</v>
      </c>
      <c r="B5" s="7" t="s">
        <v>67</v>
      </c>
      <c r="C5" s="7" t="s">
        <v>57</v>
      </c>
    </row>
    <row r="6" customFormat="false" ht="15" hidden="false" customHeight="false" outlineLevel="0" collapsed="false">
      <c r="A6" s="7" t="s">
        <v>58</v>
      </c>
      <c r="B6" s="7" t="s">
        <v>47</v>
      </c>
      <c r="C6" s="7" t="s">
        <v>60</v>
      </c>
    </row>
    <row r="7" customFormat="false" ht="15" hidden="false" customHeight="false" outlineLevel="0" collapsed="false">
      <c r="A7" s="7" t="s">
        <v>62</v>
      </c>
      <c r="B7" s="7" t="s">
        <v>63</v>
      </c>
      <c r="C7" s="7"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9"/>
    <col collapsed="false" customWidth="true" hidden="false" outlineLevel="0" max="4" min="4" style="0" width="17"/>
  </cols>
  <sheetData>
    <row r="1" customFormat="false" ht="15" hidden="false" customHeight="false" outlineLevel="0" collapsed="false">
      <c r="A1" s="3" t="s">
        <v>68</v>
      </c>
      <c r="B1" s="3" t="s">
        <v>69</v>
      </c>
      <c r="C1" s="3" t="s">
        <v>70</v>
      </c>
      <c r="D1" s="3" t="s">
        <v>71</v>
      </c>
    </row>
    <row r="2" customFormat="false" ht="15" hidden="false" customHeight="false" outlineLevel="0" collapsed="false">
      <c r="A2" s="7" t="s">
        <v>72</v>
      </c>
      <c r="B2" s="7" t="s">
        <v>73</v>
      </c>
      <c r="C2" s="7" t="n">
        <v>4</v>
      </c>
      <c r="D2" s="8" t="n">
        <f aca="false">C2*1299</f>
        <v>5196</v>
      </c>
    </row>
    <row r="3" customFormat="false" ht="15" hidden="false" customHeight="false" outlineLevel="0" collapsed="false">
      <c r="A3" s="7" t="s">
        <v>74</v>
      </c>
      <c r="B3" s="7" t="s">
        <v>75</v>
      </c>
      <c r="C3" s="7" t="n">
        <v>2</v>
      </c>
      <c r="D3" s="8" t="n">
        <f aca="false">C3*2499</f>
        <v>4998</v>
      </c>
    </row>
    <row r="4" customFormat="false" ht="15" hidden="false" customHeight="false" outlineLevel="0" collapsed="false">
      <c r="A4" s="7" t="s">
        <v>76</v>
      </c>
      <c r="B4" s="7" t="s">
        <v>73</v>
      </c>
      <c r="C4" s="7" t="n">
        <v>4</v>
      </c>
      <c r="D4" s="8" t="n">
        <f aca="false">C4*1299</f>
        <v>5196</v>
      </c>
    </row>
    <row r="5" customFormat="false" ht="15" hidden="false" customHeight="false" outlineLevel="0" collapsed="false">
      <c r="A5" s="7" t="s">
        <v>77</v>
      </c>
      <c r="B5" s="7" t="s">
        <v>78</v>
      </c>
      <c r="C5" s="7" t="n">
        <v>4</v>
      </c>
      <c r="D5" s="8" t="n">
        <f aca="false">C5*7995</f>
        <v>31980</v>
      </c>
    </row>
    <row r="6" customFormat="false" ht="15" hidden="false" customHeight="false" outlineLevel="0" collapsed="false">
      <c r="A6" s="7" t="s">
        <v>79</v>
      </c>
      <c r="B6" s="7" t="s">
        <v>73</v>
      </c>
      <c r="C6" s="7" t="n">
        <v>4</v>
      </c>
      <c r="D6" s="8" t="n">
        <f aca="false">C6*1299</f>
        <v>5196</v>
      </c>
    </row>
    <row r="7" customFormat="false" ht="15" hidden="false" customHeight="false" outlineLevel="0" collapsed="false">
      <c r="A7" s="7" t="s">
        <v>80</v>
      </c>
      <c r="B7" s="7" t="s">
        <v>81</v>
      </c>
      <c r="C7" s="7" t="n">
        <v>4</v>
      </c>
      <c r="D7" s="8" t="n">
        <f aca="false">C7*16999</f>
        <v>67996</v>
      </c>
    </row>
    <row r="8" customFormat="false" ht="15" hidden="false" customHeight="false" outlineLevel="0" collapsed="false">
      <c r="A8" s="7" t="s">
        <v>82</v>
      </c>
      <c r="B8" s="7" t="s">
        <v>83</v>
      </c>
      <c r="C8" s="7" t="n">
        <v>5</v>
      </c>
      <c r="D8" s="8" t="n">
        <f aca="false">C8*2199</f>
        <v>10995</v>
      </c>
    </row>
    <row r="9" customFormat="false" ht="15" hidden="false" customHeight="false" outlineLevel="0" collapsed="false">
      <c r="A9" s="7" t="s">
        <v>84</v>
      </c>
      <c r="B9" s="7" t="s">
        <v>75</v>
      </c>
      <c r="C9" s="7" t="n">
        <v>1</v>
      </c>
      <c r="D9" s="8" t="n">
        <f aca="false">C9*2499</f>
        <v>2499</v>
      </c>
    </row>
    <row r="10" customFormat="false" ht="15" hidden="false" customHeight="false" outlineLevel="0" collapsed="false">
      <c r="A10" s="7" t="s">
        <v>85</v>
      </c>
      <c r="B10" s="7" t="s">
        <v>81</v>
      </c>
      <c r="C10" s="7" t="n">
        <v>1</v>
      </c>
      <c r="D10" s="8" t="n">
        <f aca="false">C10*16999</f>
        <v>16999</v>
      </c>
    </row>
    <row r="11" customFormat="false" ht="15" hidden="false" customHeight="false" outlineLevel="0" collapsed="false">
      <c r="A11" s="7" t="s">
        <v>86</v>
      </c>
      <c r="B11" s="7" t="s">
        <v>73</v>
      </c>
      <c r="C11" s="7" t="n">
        <v>2</v>
      </c>
      <c r="D11" s="8" t="n">
        <f aca="false">C11*1299</f>
        <v>2598</v>
      </c>
    </row>
    <row r="12" customFormat="false" ht="15" hidden="false" customHeight="false" outlineLevel="0" collapsed="false">
      <c r="A12" s="7" t="s">
        <v>87</v>
      </c>
      <c r="B12" s="7" t="s">
        <v>81</v>
      </c>
      <c r="C12" s="7" t="n">
        <v>2</v>
      </c>
      <c r="D12" s="8" t="n">
        <f aca="false">C12*16999</f>
        <v>33998</v>
      </c>
    </row>
    <row r="13" customFormat="false" ht="15" hidden="false" customHeight="false" outlineLevel="0" collapsed="false">
      <c r="A13" s="7" t="s">
        <v>88</v>
      </c>
      <c r="B13" s="7" t="s">
        <v>81</v>
      </c>
      <c r="C13" s="7" t="n">
        <v>2</v>
      </c>
      <c r="D13" s="8" t="n">
        <f aca="false">C13*16999</f>
        <v>33998</v>
      </c>
    </row>
    <row r="14" customFormat="false" ht="15" hidden="false" customHeight="false" outlineLevel="0" collapsed="false">
      <c r="A14" s="7" t="s">
        <v>89</v>
      </c>
      <c r="B14" s="7" t="s">
        <v>75</v>
      </c>
      <c r="C14" s="7" t="n">
        <v>2</v>
      </c>
      <c r="D14" s="8" t="n">
        <f aca="false">C14*2499</f>
        <v>4998</v>
      </c>
    </row>
    <row r="15" customFormat="false" ht="15" hidden="false" customHeight="false" outlineLevel="0" collapsed="false">
      <c r="A15" s="7" t="s">
        <v>90</v>
      </c>
      <c r="B15" s="7" t="s">
        <v>81</v>
      </c>
      <c r="C15" s="7" t="n">
        <v>5</v>
      </c>
      <c r="D15" s="8" t="n">
        <f aca="false">C15*16999</f>
        <v>84995</v>
      </c>
    </row>
    <row r="16" customFormat="false" ht="15" hidden="false" customHeight="false" outlineLevel="0" collapsed="false">
      <c r="A16" s="7" t="s">
        <v>91</v>
      </c>
      <c r="B16" s="7" t="s">
        <v>83</v>
      </c>
      <c r="C16" s="7" t="n">
        <v>5</v>
      </c>
      <c r="D16" s="8" t="n">
        <f aca="false">C16*2199</f>
        <v>10995</v>
      </c>
    </row>
    <row r="17" customFormat="false" ht="15" hidden="false" customHeight="false" outlineLevel="0" collapsed="false">
      <c r="A17" s="7" t="s">
        <v>92</v>
      </c>
      <c r="B17" s="7" t="s">
        <v>83</v>
      </c>
      <c r="C17" s="7" t="n">
        <v>4</v>
      </c>
      <c r="D17" s="8" t="n">
        <f aca="false">C17*2199</f>
        <v>8796</v>
      </c>
    </row>
    <row r="18" customFormat="false" ht="15" hidden="false" customHeight="false" outlineLevel="0" collapsed="false">
      <c r="A18" s="7" t="s">
        <v>93</v>
      </c>
      <c r="B18" s="7" t="s">
        <v>75</v>
      </c>
      <c r="C18" s="7" t="n">
        <v>3</v>
      </c>
      <c r="D18" s="8" t="n">
        <f aca="false">C18*2499</f>
        <v>7497</v>
      </c>
    </row>
    <row r="19" customFormat="false" ht="15" hidden="false" customHeight="false" outlineLevel="0" collapsed="false">
      <c r="A19" s="7" t="s">
        <v>94</v>
      </c>
      <c r="B19" s="7" t="s">
        <v>75</v>
      </c>
      <c r="C19" s="7" t="n">
        <v>4</v>
      </c>
      <c r="D19" s="8" t="n">
        <f aca="false">C19*2499</f>
        <v>9996</v>
      </c>
    </row>
    <row r="20" customFormat="false" ht="15" hidden="false" customHeight="false" outlineLevel="0" collapsed="false">
      <c r="A20" s="7" t="s">
        <v>95</v>
      </c>
      <c r="B20" s="7" t="s">
        <v>78</v>
      </c>
      <c r="C20" s="7" t="n">
        <v>4</v>
      </c>
      <c r="D20" s="8" t="n">
        <f aca="false">C20*7995</f>
        <v>31980</v>
      </c>
    </row>
    <row r="21" customFormat="false" ht="15" hidden="false" customHeight="false" outlineLevel="0" collapsed="false">
      <c r="A21" s="7" t="s">
        <v>96</v>
      </c>
      <c r="B21" s="7" t="s">
        <v>78</v>
      </c>
      <c r="C21" s="7" t="n">
        <v>4</v>
      </c>
      <c r="D21" s="8" t="n">
        <f aca="false">C21*7995</f>
        <v>31980</v>
      </c>
    </row>
    <row r="22" customFormat="false" ht="15" hidden="false" customHeight="false" outlineLevel="0" collapsed="false">
      <c r="A22" s="7" t="s">
        <v>97</v>
      </c>
      <c r="B22" s="7" t="s">
        <v>78</v>
      </c>
      <c r="C22" s="7" t="n">
        <v>4</v>
      </c>
      <c r="D22" s="8" t="n">
        <f aca="false">C22*7995</f>
        <v>31980</v>
      </c>
    </row>
    <row r="23" customFormat="false" ht="15" hidden="false" customHeight="false" outlineLevel="0" collapsed="false">
      <c r="A23" s="7" t="s">
        <v>98</v>
      </c>
      <c r="B23" s="7" t="s">
        <v>75</v>
      </c>
      <c r="C23" s="7" t="n">
        <v>5</v>
      </c>
      <c r="D23" s="8" t="n">
        <f aca="false">C23*2499</f>
        <v>12495</v>
      </c>
    </row>
    <row r="24" customFormat="false" ht="15" hidden="false" customHeight="false" outlineLevel="0" collapsed="false">
      <c r="A24" s="7" t="s">
        <v>99</v>
      </c>
      <c r="B24" s="7" t="s">
        <v>73</v>
      </c>
      <c r="C24" s="7" t="n">
        <v>3</v>
      </c>
      <c r="D24" s="8" t="n">
        <f aca="false">C24*1299</f>
        <v>3897</v>
      </c>
    </row>
    <row r="25" customFormat="false" ht="15" hidden="false" customHeight="false" outlineLevel="0" collapsed="false">
      <c r="A25" s="7" t="s">
        <v>100</v>
      </c>
      <c r="B25" s="7" t="s">
        <v>78</v>
      </c>
      <c r="C25" s="7" t="n">
        <v>3</v>
      </c>
      <c r="D25" s="8" t="n">
        <f aca="false">C25*7995</f>
        <v>23985</v>
      </c>
    </row>
    <row r="26" customFormat="false" ht="15" hidden="false" customHeight="false" outlineLevel="0" collapsed="false">
      <c r="A26" s="7" t="s">
        <v>101</v>
      </c>
      <c r="B26" s="7" t="s">
        <v>73</v>
      </c>
      <c r="C26" s="7" t="n">
        <v>5</v>
      </c>
      <c r="D26" s="8" t="n">
        <f aca="false">C26*1299</f>
        <v>6495</v>
      </c>
    </row>
    <row r="27" customFormat="false" ht="15" hidden="false" customHeight="false" outlineLevel="0" collapsed="false">
      <c r="A27" s="7" t="s">
        <v>102</v>
      </c>
      <c r="B27" s="7" t="s">
        <v>83</v>
      </c>
      <c r="C27" s="7" t="n">
        <v>2</v>
      </c>
      <c r="D27" s="8" t="n">
        <f aca="false">C27*2199</f>
        <v>4398</v>
      </c>
    </row>
    <row r="28" customFormat="false" ht="15" hidden="false" customHeight="false" outlineLevel="0" collapsed="false">
      <c r="A28" s="7" t="s">
        <v>103</v>
      </c>
      <c r="B28" s="7" t="s">
        <v>83</v>
      </c>
      <c r="C28" s="7" t="n">
        <v>1</v>
      </c>
      <c r="D28" s="8" t="n">
        <f aca="false">C28*2199</f>
        <v>2199</v>
      </c>
    </row>
    <row r="29" customFormat="false" ht="15" hidden="false" customHeight="false" outlineLevel="0" collapsed="false">
      <c r="A29" s="7" t="s">
        <v>104</v>
      </c>
      <c r="B29" s="7" t="s">
        <v>81</v>
      </c>
      <c r="C29" s="7" t="n">
        <v>5</v>
      </c>
      <c r="D29" s="8" t="n">
        <f aca="false">C29*16999</f>
        <v>84995</v>
      </c>
    </row>
    <row r="30" customFormat="false" ht="15" hidden="false" customHeight="false" outlineLevel="0" collapsed="false">
      <c r="A30" s="7" t="s">
        <v>105</v>
      </c>
      <c r="B30" s="7" t="s">
        <v>75</v>
      </c>
      <c r="C30" s="7" t="n">
        <v>5</v>
      </c>
      <c r="D30" s="8" t="n">
        <f aca="false">C30*2499</f>
        <v>12495</v>
      </c>
    </row>
    <row r="31" customFormat="false" ht="15" hidden="false" customHeight="false" outlineLevel="0" collapsed="false">
      <c r="A31" s="7" t="s">
        <v>106</v>
      </c>
      <c r="B31" s="7" t="s">
        <v>73</v>
      </c>
      <c r="C31" s="7" t="n">
        <v>3</v>
      </c>
      <c r="D31" s="8" t="n">
        <f aca="false">C31*1299</f>
        <v>3897</v>
      </c>
    </row>
    <row r="32" customFormat="false" ht="15" hidden="false" customHeight="false" outlineLevel="0" collapsed="false">
      <c r="A32" s="7" t="s">
        <v>107</v>
      </c>
      <c r="B32" s="7" t="s">
        <v>83</v>
      </c>
      <c r="C32" s="7" t="n">
        <v>1</v>
      </c>
      <c r="D32" s="8" t="n">
        <f aca="false">C32*2199</f>
        <v>2199</v>
      </c>
    </row>
    <row r="33" customFormat="false" ht="15" hidden="false" customHeight="false" outlineLevel="0" collapsed="false">
      <c r="A33" s="7" t="s">
        <v>108</v>
      </c>
      <c r="B33" s="7" t="s">
        <v>73</v>
      </c>
      <c r="C33" s="7" t="n">
        <v>5</v>
      </c>
      <c r="D33" s="8" t="n">
        <f aca="false">C33*1299</f>
        <v>6495</v>
      </c>
    </row>
    <row r="34" customFormat="false" ht="15" hidden="false" customHeight="false" outlineLevel="0" collapsed="false">
      <c r="A34" s="7" t="s">
        <v>109</v>
      </c>
      <c r="B34" s="7" t="s">
        <v>81</v>
      </c>
      <c r="C34" s="7" t="n">
        <v>1</v>
      </c>
      <c r="D34" s="8" t="n">
        <f aca="false">C34*16999</f>
        <v>16999</v>
      </c>
    </row>
    <row r="35" customFormat="false" ht="15" hidden="false" customHeight="false" outlineLevel="0" collapsed="false">
      <c r="A35" s="7" t="s">
        <v>110</v>
      </c>
      <c r="B35" s="7" t="s">
        <v>75</v>
      </c>
      <c r="C35" s="7" t="n">
        <v>2</v>
      </c>
      <c r="D35" s="8" t="n">
        <f aca="false">C35*2499</f>
        <v>4998</v>
      </c>
    </row>
    <row r="36" customFormat="false" ht="15" hidden="false" customHeight="false" outlineLevel="0" collapsed="false">
      <c r="A36" s="7" t="s">
        <v>111</v>
      </c>
      <c r="B36" s="7" t="s">
        <v>83</v>
      </c>
      <c r="C36" s="7" t="n">
        <v>3</v>
      </c>
      <c r="D36" s="8" t="n">
        <f aca="false">C36*2199</f>
        <v>6597</v>
      </c>
    </row>
    <row r="37" customFormat="false" ht="15" hidden="false" customHeight="false" outlineLevel="0" collapsed="false">
      <c r="A37" s="7" t="s">
        <v>112</v>
      </c>
      <c r="B37" s="7" t="s">
        <v>73</v>
      </c>
      <c r="C37" s="7" t="n">
        <v>1</v>
      </c>
      <c r="D37" s="8" t="n">
        <f aca="false">C37*1299</f>
        <v>1299</v>
      </c>
    </row>
    <row r="38" customFormat="false" ht="15" hidden="false" customHeight="false" outlineLevel="0" collapsed="false">
      <c r="A38" s="7" t="s">
        <v>113</v>
      </c>
      <c r="B38" s="7" t="s">
        <v>78</v>
      </c>
      <c r="C38" s="7" t="n">
        <v>5</v>
      </c>
      <c r="D38" s="8" t="n">
        <f aca="false">C38*7995</f>
        <v>39975</v>
      </c>
    </row>
    <row r="39" customFormat="false" ht="15" hidden="false" customHeight="false" outlineLevel="0" collapsed="false">
      <c r="A39" s="7" t="s">
        <v>114</v>
      </c>
      <c r="B39" s="7" t="s">
        <v>81</v>
      </c>
      <c r="C39" s="7" t="n">
        <v>5</v>
      </c>
      <c r="D39" s="8" t="n">
        <f aca="false">C39*16999</f>
        <v>84995</v>
      </c>
    </row>
    <row r="40" customFormat="false" ht="15" hidden="false" customHeight="false" outlineLevel="0" collapsed="false">
      <c r="A40" s="7" t="s">
        <v>115</v>
      </c>
      <c r="B40" s="7" t="s">
        <v>75</v>
      </c>
      <c r="C40" s="7" t="n">
        <v>2</v>
      </c>
      <c r="D40" s="8" t="n">
        <f aca="false">C40*2499</f>
        <v>4998</v>
      </c>
    </row>
    <row r="41" customFormat="false" ht="15" hidden="false" customHeight="false" outlineLevel="0" collapsed="false">
      <c r="A41" s="7" t="s">
        <v>116</v>
      </c>
      <c r="B41" s="7" t="s">
        <v>75</v>
      </c>
      <c r="C41" s="7" t="n">
        <v>1</v>
      </c>
      <c r="D41" s="8" t="n">
        <f aca="false">C41*2499</f>
        <v>2499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7"/>
    <col collapsed="false" customWidth="true" hidden="false" outlineLevel="0" max="8" min="8" style="0" width="45"/>
  </cols>
  <sheetData>
    <row r="1" customFormat="false" ht="19.7" hidden="false" customHeight="false" outlineLevel="0" collapsed="false">
      <c r="A1" s="9" t="s">
        <v>117</v>
      </c>
      <c r="H1" s="5" t="s">
        <v>118</v>
      </c>
    </row>
    <row r="3" customFormat="false" ht="15" hidden="false" customHeight="false" outlineLevel="0" collapsed="false">
      <c r="A3" s="3" t="s">
        <v>69</v>
      </c>
      <c r="B3" s="3" t="s">
        <v>119</v>
      </c>
    </row>
    <row r="4" customFormat="false" ht="15" hidden="false" customHeight="false" outlineLevel="0" collapsed="false">
      <c r="A4" s="7" t="s">
        <v>73</v>
      </c>
      <c r="B4" s="8" t="n">
        <f aca="false">SUMIFS(Sales_Data!$D$2:$D$41,Sales_Data!$B$2:$B$41,A4)</f>
        <v>40269</v>
      </c>
    </row>
    <row r="5" customFormat="false" ht="15" hidden="false" customHeight="false" outlineLevel="0" collapsed="false">
      <c r="A5" s="7" t="s">
        <v>81</v>
      </c>
      <c r="B5" s="8" t="n">
        <f aca="false">SUMIFS(Sales_Data!$D$2:$D$41,Sales_Data!$B$2:$B$41,A5)</f>
        <v>424975</v>
      </c>
    </row>
    <row r="6" customFormat="false" ht="15" hidden="false" customHeight="false" outlineLevel="0" collapsed="false">
      <c r="A6" s="7" t="s">
        <v>75</v>
      </c>
      <c r="B6" s="8" t="n">
        <f aca="false">SUMIFS(Sales_Data!$D$2:$D$41,Sales_Data!$B$2:$B$41,A6)</f>
        <v>67473</v>
      </c>
    </row>
    <row r="7" customFormat="false" ht="15" hidden="false" customHeight="false" outlineLevel="0" collapsed="false">
      <c r="A7" s="7" t="s">
        <v>78</v>
      </c>
      <c r="B7" s="8" t="n">
        <f aca="false">SUMIFS(Sales_Data!$D$2:$D$41,Sales_Data!$B$2:$B$41,A7)</f>
        <v>191880</v>
      </c>
    </row>
    <row r="8" customFormat="false" ht="15" hidden="false" customHeight="false" outlineLevel="0" collapsed="false">
      <c r="A8" s="7" t="s">
        <v>83</v>
      </c>
      <c r="B8" s="8" t="n">
        <f aca="false">SUMIFS(Sales_Data!$D$2:$D$41,Sales_Data!$B$2:$B$41,A8)</f>
        <v>46179</v>
      </c>
    </row>
    <row r="10" customFormat="false" ht="15" hidden="false" customHeight="false" outlineLevel="0" collapsed="false">
      <c r="A10" s="5"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0"/>
  </cols>
  <sheetData>
    <row r="1" customFormat="false" ht="15" hidden="false" customHeight="false" outlineLevel="0" collapsed="false">
      <c r="A1" s="10" t="s">
        <v>121</v>
      </c>
    </row>
    <row r="3" customFormat="false" ht="15" hidden="false" customHeight="false" outlineLevel="0" collapsed="false">
      <c r="A3" s="3" t="s">
        <v>2</v>
      </c>
      <c r="B3" s="3" t="s">
        <v>122</v>
      </c>
    </row>
    <row r="4" customFormat="false" ht="112.5" hidden="false" customHeight="true" outlineLevel="0" collapsed="false">
      <c r="A4" s="11" t="s">
        <v>6</v>
      </c>
      <c r="B4" s="12" t="s">
        <v>123</v>
      </c>
    </row>
    <row r="5" customFormat="false" ht="324.75" hidden="false" customHeight="true" outlineLevel="0" collapsed="false">
      <c r="A5" s="11" t="s">
        <v>10</v>
      </c>
      <c r="B5" s="12" t="s">
        <v>124</v>
      </c>
    </row>
    <row r="6" customFormat="false" ht="324.75" hidden="false" customHeight="true" outlineLevel="0" collapsed="false">
      <c r="A6" s="11" t="s">
        <v>14</v>
      </c>
      <c r="B6" s="12" t="s">
        <v>125</v>
      </c>
    </row>
    <row r="7" customFormat="false" ht="337.5" hidden="false" customHeight="true" outlineLevel="0" collapsed="false">
      <c r="A7" s="11" t="s">
        <v>18</v>
      </c>
      <c r="B7" s="12" t="s">
        <v>126</v>
      </c>
    </row>
    <row r="8" customFormat="false" ht="237" hidden="false" customHeight="true" outlineLevel="0" collapsed="false">
      <c r="A8" s="11" t="s">
        <v>21</v>
      </c>
      <c r="B8" s="12"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row r="2" customFormat="false" ht="12.8" hidden="false" customHeight="false" outlineLevel="0" collapsed="false">
      <c r="A2" s="13" t="s">
        <v>128</v>
      </c>
    </row>
    <row r="4" customFormat="false" ht="12.8" hidden="false" customHeight="false" outlineLevel="0" collapsed="false">
      <c r="A4" s="14" t="s">
        <v>69</v>
      </c>
      <c r="B4" s="15" t="s">
        <v>129</v>
      </c>
    </row>
    <row r="5" customFormat="false" ht="12.8" hidden="false" customHeight="false" outlineLevel="0" collapsed="false">
      <c r="A5" s="16" t="s">
        <v>78</v>
      </c>
      <c r="B5" s="17" t="n">
        <v>191880</v>
      </c>
    </row>
    <row r="6" customFormat="false" ht="12.8" hidden="false" customHeight="false" outlineLevel="0" collapsed="false">
      <c r="A6" s="18" t="s">
        <v>73</v>
      </c>
      <c r="B6" s="19" t="n">
        <v>40269</v>
      </c>
    </row>
    <row r="7" customFormat="false" ht="12.8" hidden="false" customHeight="false" outlineLevel="0" collapsed="false">
      <c r="A7" s="18" t="s">
        <v>75</v>
      </c>
      <c r="B7" s="19" t="n">
        <v>67473</v>
      </c>
    </row>
    <row r="8" customFormat="false" ht="12.8" hidden="false" customHeight="false" outlineLevel="0" collapsed="false">
      <c r="A8" s="18" t="s">
        <v>81</v>
      </c>
      <c r="B8" s="19" t="n">
        <v>424975</v>
      </c>
    </row>
    <row r="9" customFormat="false" ht="12.8" hidden="false" customHeight="false" outlineLevel="0" collapsed="false">
      <c r="A9" s="18" t="s">
        <v>83</v>
      </c>
      <c r="B9" s="20" t="n">
        <v>46179</v>
      </c>
    </row>
    <row r="10" customFormat="false" ht="12.8" hidden="false" customHeight="false" outlineLevel="0" collapsed="false">
      <c r="A10" s="21" t="s">
        <v>130</v>
      </c>
      <c r="B10" s="22" t="n">
        <v>770776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2026-10-03T09:19:23Z</dcterms:created>
  <dc:creator>openpyxl</dc:creator>
  <dc:description/>
  <dc:language>en-US</dc:language>
  <cp:lastModifiedBy/>
  <dcterms:modified xsi:type="dcterms:W3CDTF">2026-10-03T09:19:24Z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