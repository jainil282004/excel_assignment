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ask Notes" sheetId="1" state="visible" r:id="rId3"/>
    <sheet name="Data" sheetId="2" state="visible" r:id="rId4"/>
    <sheet name="T1_Summary" sheetId="3" state="visible" r:id="rId5"/>
    <sheet name="T2_Bar_Chart" sheetId="4" state="visible" r:id="rId6"/>
    <sheet name="T3_Month_Filter" sheetId="5" state="visible" r:id="rId7"/>
    <sheet name="T4_Pie_Chart" sheetId="6" state="visible" r:id="rId8"/>
    <sheet name="T5_Dashboard" sheetId="7" state="visible" r:id="rId9"/>
    <sheet name="T1_PivotTable" sheetId="8" state="visible" r:id="rId10"/>
  </sheets>
  <calcPr iterateCount="100" refMode="A1" iterate="false" iterateDelta="0.0001"/>
  <pivotCaches>
    <pivotCache cacheId="1" r:id="rId12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<sst xmlns="http://schemas.openxmlformats.org/spreadsheetml/2006/main" count="653" uniqueCount="243">
  <si>
    <t xml:space="preserve">Set 13 - Pivot charts, slicer substitute and interactive dashboard</t>
  </si>
  <si>
    <t xml:space="preserve">Each task has its own worksheet (named in the 'Worksheet' column). Sample data is synthetic and created for this assignment.</t>
  </si>
  <si>
    <t xml:space="preserve">Task</t>
  </si>
  <si>
    <t xml:space="preserve">Question (summary)</t>
  </si>
  <si>
    <t xml:space="preserve">Worksheet</t>
  </si>
  <si>
    <t xml:space="preserve">What was done / answer / explanation</t>
  </si>
  <si>
    <t xml:space="preserve">1</t>
  </si>
  <si>
    <t xml:space="preserve">Pivot Table: total sales per restaurant.</t>
  </si>
  <si>
    <t xml:space="preserve">T1_PivotTable / T1_Summary</t>
  </si>
  <si>
    <t xml:space="preserve">Real PivotTable on sheet T1_PivotTable (Restaurant in Rows, Sum of Amount in Values). T1_Summary holds the same totals as formulas and feeds all charts.</t>
  </si>
  <si>
    <t xml:space="preserve">2</t>
  </si>
  <si>
    <t xml:space="preserve">Pivot Chart (bar) of restaurant sales with a custom colour scheme.</t>
  </si>
  <si>
    <t xml:space="preserve">T2_Bar_Chart</t>
  </si>
  <si>
    <t xml:space="preserve">Horizontal bar chart of restaurant totals with a custom 8-colour palette (blue / orange / green family) and data labels. In Excel: click the pivot &gt; PivotTable Analyze &gt; PivotChart &gt; Bar; Chart Design &gt; Change Colors for the palette.</t>
  </si>
  <si>
    <t xml:space="preserve">3</t>
  </si>
  <si>
    <t xml:space="preserve">Slicer to filter the pivot table and chart by month.</t>
  </si>
  <si>
    <t xml:space="preserve">T3_Month_Filter</t>
  </si>
  <si>
    <t xml:space="preserve">Choose a month in yellow cell B1 (or All Months): table and chart show that month's sales per restaurant. To add a real Slicer in Excel: click the pivot chart &gt; PivotChart Analyze &gt; Insert Slicer &gt; Month (the Data sheet already has a Month column).</t>
  </si>
  <si>
    <t xml:space="preserve">4</t>
  </si>
  <si>
    <t xml:space="preserve">Switch to Pie chart; labels with value and percentage.</t>
  </si>
  <si>
    <t xml:space="preserve">T4_Pie_Chart</t>
  </si>
  <si>
    <t xml:space="preserve">Pie chart of restaurant share. Data labels show Value and Percentage (right-click series &gt; Add Data Labels &gt; Format Data Labels &gt; tick Value and Percentage).</t>
  </si>
  <si>
    <t xml:space="preserve">5</t>
  </si>
  <si>
    <t xml:space="preserve">Interactive dashboard: line chart of monthly sales for top 3 restaurants, clean layout.</t>
  </si>
  <si>
    <t xml:space="preserve">T5_Dashboard</t>
  </si>
  <si>
    <t xml:space="preserve">Title banner, four KPI cards, a line chart of the top 3 restaurants' monthly sales (ranks computed with LARGE/MATCH so they update if data changes) and a bar chart. The 'Select month' drop-down (C3) drives the KPI cards and bar chart. Consistent navy/blue palette, aligned grid (columns B-M), Arial throughout. A PNG/JPG snapshot is provided as Set13_Dashboard.jpg.</t>
  </si>
  <si>
    <t xml:space="preserve">Order ID</t>
  </si>
  <si>
    <t xml:space="preserve">Restaurant</t>
  </si>
  <si>
    <t xml:space="preserve">Order Date</t>
  </si>
  <si>
    <t xml:space="preserve">Month</t>
  </si>
  <si>
    <t xml:space="preserve">Amount</t>
  </si>
  <si>
    <t xml:space="preserve">ORD1001</t>
  </si>
  <si>
    <t xml:space="preserve">Honest Restaurant</t>
  </si>
  <si>
    <t xml:space="preserve">Sep 2026</t>
  </si>
  <si>
    <t xml:space="preserve">ORD1002</t>
  </si>
  <si>
    <t xml:space="preserve">Biryani Blues</t>
  </si>
  <si>
    <t xml:space="preserve">May 2026</t>
  </si>
  <si>
    <t xml:space="preserve">ORD1003</t>
  </si>
  <si>
    <t xml:space="preserve">Domino's</t>
  </si>
  <si>
    <t xml:space="preserve">Jun 2026</t>
  </si>
  <si>
    <t xml:space="preserve">ORD1004</t>
  </si>
  <si>
    <t xml:space="preserve">Pizza Hut</t>
  </si>
  <si>
    <t xml:space="preserve">ORD1005</t>
  </si>
  <si>
    <t xml:space="preserve">ORD1006</t>
  </si>
  <si>
    <t xml:space="preserve">Jul 2026</t>
  </si>
  <si>
    <t xml:space="preserve">ORD1007</t>
  </si>
  <si>
    <t xml:space="preserve">Gwalia Sweets</t>
  </si>
  <si>
    <t xml:space="preserve">Aug 2026</t>
  </si>
  <si>
    <t xml:space="preserve">ORD1008</t>
  </si>
  <si>
    <t xml:space="preserve">KFC</t>
  </si>
  <si>
    <t xml:space="preserve">ORD1009</t>
  </si>
  <si>
    <t xml:space="preserve">ORD1010</t>
  </si>
  <si>
    <t xml:space="preserve">ORD1011</t>
  </si>
  <si>
    <t xml:space="preserve">ORD1012</t>
  </si>
  <si>
    <t xml:space="preserve">Apr 2026</t>
  </si>
  <si>
    <t xml:space="preserve">ORD1013</t>
  </si>
  <si>
    <t xml:space="preserve">ORD1014</t>
  </si>
  <si>
    <t xml:space="preserve">ORD1015</t>
  </si>
  <si>
    <t xml:space="preserve">Wok Express</t>
  </si>
  <si>
    <t xml:space="preserve">ORD1016</t>
  </si>
  <si>
    <t xml:space="preserve">ORD1017</t>
  </si>
  <si>
    <t xml:space="preserve">ORD1018</t>
  </si>
  <si>
    <t xml:space="preserve">ORD1019</t>
  </si>
  <si>
    <t xml:space="preserve">ORD1020</t>
  </si>
  <si>
    <t xml:space="preserve">ORD1021</t>
  </si>
  <si>
    <t xml:space="preserve">Burger King</t>
  </si>
  <si>
    <t xml:space="preserve">ORD1022</t>
  </si>
  <si>
    <t xml:space="preserve">ORD1023</t>
  </si>
  <si>
    <t xml:space="preserve">ORD1024</t>
  </si>
  <si>
    <t xml:space="preserve">ORD1025</t>
  </si>
  <si>
    <t xml:space="preserve">ORD1026</t>
  </si>
  <si>
    <t xml:space="preserve">ORD1027</t>
  </si>
  <si>
    <t xml:space="preserve">ORD1028</t>
  </si>
  <si>
    <t xml:space="preserve">ORD1029</t>
  </si>
  <si>
    <t xml:space="preserve">ORD1030</t>
  </si>
  <si>
    <t xml:space="preserve">ORD1031</t>
  </si>
  <si>
    <t xml:space="preserve">ORD1032</t>
  </si>
  <si>
    <t xml:space="preserve">ORD1033</t>
  </si>
  <si>
    <t xml:space="preserve">ORD1034</t>
  </si>
  <si>
    <t xml:space="preserve">ORD1035</t>
  </si>
  <si>
    <t xml:space="preserve">ORD1036</t>
  </si>
  <si>
    <t xml:space="preserve">ORD1037</t>
  </si>
  <si>
    <t xml:space="preserve">ORD1038</t>
  </si>
  <si>
    <t xml:space="preserve">ORD1039</t>
  </si>
  <si>
    <t xml:space="preserve">ORD1040</t>
  </si>
  <si>
    <t xml:space="preserve">ORD1041</t>
  </si>
  <si>
    <t xml:space="preserve">ORD1042</t>
  </si>
  <si>
    <t xml:space="preserve">ORD1043</t>
  </si>
  <si>
    <t xml:space="preserve">ORD1044</t>
  </si>
  <si>
    <t xml:space="preserve">ORD1045</t>
  </si>
  <si>
    <t xml:space="preserve">ORD1046</t>
  </si>
  <si>
    <t xml:space="preserve">ORD1047</t>
  </si>
  <si>
    <t xml:space="preserve">ORD1048</t>
  </si>
  <si>
    <t xml:space="preserve">ORD1049</t>
  </si>
  <si>
    <t xml:space="preserve">ORD1050</t>
  </si>
  <si>
    <t xml:space="preserve">ORD1051</t>
  </si>
  <si>
    <t xml:space="preserve">ORD1052</t>
  </si>
  <si>
    <t xml:space="preserve">ORD1053</t>
  </si>
  <si>
    <t xml:space="preserve">ORD1054</t>
  </si>
  <si>
    <t xml:space="preserve">ORD1055</t>
  </si>
  <si>
    <t xml:space="preserve">ORD1056</t>
  </si>
  <si>
    <t xml:space="preserve">ORD1057</t>
  </si>
  <si>
    <t xml:space="preserve">ORD1058</t>
  </si>
  <si>
    <t xml:space="preserve">ORD1059</t>
  </si>
  <si>
    <t xml:space="preserve">ORD1060</t>
  </si>
  <si>
    <t xml:space="preserve">ORD1061</t>
  </si>
  <si>
    <t xml:space="preserve">ORD1062</t>
  </si>
  <si>
    <t xml:space="preserve">ORD1063</t>
  </si>
  <si>
    <t xml:space="preserve">ORD1064</t>
  </si>
  <si>
    <t xml:space="preserve">ORD1065</t>
  </si>
  <si>
    <t xml:space="preserve">ORD1066</t>
  </si>
  <si>
    <t xml:space="preserve">ORD1067</t>
  </si>
  <si>
    <t xml:space="preserve">ORD1068</t>
  </si>
  <si>
    <t xml:space="preserve">ORD1069</t>
  </si>
  <si>
    <t xml:space="preserve">ORD1070</t>
  </si>
  <si>
    <t xml:space="preserve">ORD1071</t>
  </si>
  <si>
    <t xml:space="preserve">ORD1072</t>
  </si>
  <si>
    <t xml:space="preserve">ORD1073</t>
  </si>
  <si>
    <t xml:space="preserve">ORD1074</t>
  </si>
  <si>
    <t xml:space="preserve">ORD1075</t>
  </si>
  <si>
    <t xml:space="preserve">ORD1076</t>
  </si>
  <si>
    <t xml:space="preserve">ORD1077</t>
  </si>
  <si>
    <t xml:space="preserve">ORD1078</t>
  </si>
  <si>
    <t xml:space="preserve">ORD1079</t>
  </si>
  <si>
    <t xml:space="preserve">ORD1080</t>
  </si>
  <si>
    <t xml:space="preserve">ORD1081</t>
  </si>
  <si>
    <t xml:space="preserve">ORD1082</t>
  </si>
  <si>
    <t xml:space="preserve">ORD1083</t>
  </si>
  <si>
    <t xml:space="preserve">ORD1084</t>
  </si>
  <si>
    <t xml:space="preserve">ORD1085</t>
  </si>
  <si>
    <t xml:space="preserve">ORD1086</t>
  </si>
  <si>
    <t xml:space="preserve">ORD1087</t>
  </si>
  <si>
    <t xml:space="preserve">ORD1088</t>
  </si>
  <si>
    <t xml:space="preserve">ORD1089</t>
  </si>
  <si>
    <t xml:space="preserve">ORD1090</t>
  </si>
  <si>
    <t xml:space="preserve">ORD1091</t>
  </si>
  <si>
    <t xml:space="preserve">ORD1092</t>
  </si>
  <si>
    <t xml:space="preserve">ORD1093</t>
  </si>
  <si>
    <t xml:space="preserve">ORD1094</t>
  </si>
  <si>
    <t xml:space="preserve">ORD1095</t>
  </si>
  <si>
    <t xml:space="preserve">ORD1096</t>
  </si>
  <si>
    <t xml:space="preserve">ORD1097</t>
  </si>
  <si>
    <t xml:space="preserve">ORD1098</t>
  </si>
  <si>
    <t xml:space="preserve">ORD1099</t>
  </si>
  <si>
    <t xml:space="preserve">ORD1100</t>
  </si>
  <si>
    <t xml:space="preserve">ORD1101</t>
  </si>
  <si>
    <t xml:space="preserve">ORD1102</t>
  </si>
  <si>
    <t xml:space="preserve">ORD1103</t>
  </si>
  <si>
    <t xml:space="preserve">ORD1104</t>
  </si>
  <si>
    <t xml:space="preserve">ORD1105</t>
  </si>
  <si>
    <t xml:space="preserve">ORD1106</t>
  </si>
  <si>
    <t xml:space="preserve">ORD1107</t>
  </si>
  <si>
    <t xml:space="preserve">ORD1108</t>
  </si>
  <si>
    <t xml:space="preserve">ORD1109</t>
  </si>
  <si>
    <t xml:space="preserve">ORD1110</t>
  </si>
  <si>
    <t xml:space="preserve">ORD1111</t>
  </si>
  <si>
    <t xml:space="preserve">ORD1112</t>
  </si>
  <si>
    <t xml:space="preserve">ORD1113</t>
  </si>
  <si>
    <t xml:space="preserve">ORD1114</t>
  </si>
  <si>
    <t xml:space="preserve">ORD1115</t>
  </si>
  <si>
    <t xml:space="preserve">ORD1116</t>
  </si>
  <si>
    <t xml:space="preserve">ORD1117</t>
  </si>
  <si>
    <t xml:space="preserve">ORD1118</t>
  </si>
  <si>
    <t xml:space="preserve">ORD1119</t>
  </si>
  <si>
    <t xml:space="preserve">ORD1120</t>
  </si>
  <si>
    <t xml:space="preserve">ORD1121</t>
  </si>
  <si>
    <t xml:space="preserve">ORD1122</t>
  </si>
  <si>
    <t xml:space="preserve">ORD1123</t>
  </si>
  <si>
    <t xml:space="preserve">ORD1124</t>
  </si>
  <si>
    <t xml:space="preserve">ORD1125</t>
  </si>
  <si>
    <t xml:space="preserve">ORD1126</t>
  </si>
  <si>
    <t xml:space="preserve">ORD1127</t>
  </si>
  <si>
    <t xml:space="preserve">ORD1128</t>
  </si>
  <si>
    <t xml:space="preserve">ORD1129</t>
  </si>
  <si>
    <t xml:space="preserve">ORD1130</t>
  </si>
  <si>
    <t xml:space="preserve">ORD1131</t>
  </si>
  <si>
    <t xml:space="preserve">ORD1132</t>
  </si>
  <si>
    <t xml:space="preserve">ORD1133</t>
  </si>
  <si>
    <t xml:space="preserve">ORD1134</t>
  </si>
  <si>
    <t xml:space="preserve">ORD1135</t>
  </si>
  <si>
    <t xml:space="preserve">ORD1136</t>
  </si>
  <si>
    <t xml:space="preserve">ORD1137</t>
  </si>
  <si>
    <t xml:space="preserve">ORD1138</t>
  </si>
  <si>
    <t xml:space="preserve">ORD1139</t>
  </si>
  <si>
    <t xml:space="preserve">ORD1140</t>
  </si>
  <si>
    <t xml:space="preserve">ORD1141</t>
  </si>
  <si>
    <t xml:space="preserve">ORD1142</t>
  </si>
  <si>
    <t xml:space="preserve">ORD1143</t>
  </si>
  <si>
    <t xml:space="preserve">ORD1144</t>
  </si>
  <si>
    <t xml:space="preserve">ORD1145</t>
  </si>
  <si>
    <t xml:space="preserve">ORD1146</t>
  </si>
  <si>
    <t xml:space="preserve">ORD1147</t>
  </si>
  <si>
    <t xml:space="preserve">ORD1148</t>
  </si>
  <si>
    <t xml:space="preserve">ORD1149</t>
  </si>
  <si>
    <t xml:space="preserve">ORD1150</t>
  </si>
  <si>
    <t xml:space="preserve">ORD1151</t>
  </si>
  <si>
    <t xml:space="preserve">ORD1152</t>
  </si>
  <si>
    <t xml:space="preserve">ORD1153</t>
  </si>
  <si>
    <t xml:space="preserve">ORD1154</t>
  </si>
  <si>
    <t xml:space="preserve">ORD1155</t>
  </si>
  <si>
    <t xml:space="preserve">ORD1156</t>
  </si>
  <si>
    <t xml:space="preserve">ORD1157</t>
  </si>
  <si>
    <t xml:space="preserve">ORD1158</t>
  </si>
  <si>
    <t xml:space="preserve">ORD1159</t>
  </si>
  <si>
    <t xml:space="preserve">ORD1160</t>
  </si>
  <si>
    <t xml:space="preserve">ORD1161</t>
  </si>
  <si>
    <t xml:space="preserve">ORD1162</t>
  </si>
  <si>
    <t xml:space="preserve">ORD1163</t>
  </si>
  <si>
    <t xml:space="preserve">ORD1164</t>
  </si>
  <si>
    <t xml:space="preserve">ORD1165</t>
  </si>
  <si>
    <t xml:space="preserve">ORD1166</t>
  </si>
  <si>
    <t xml:space="preserve">ORD1167</t>
  </si>
  <si>
    <t xml:space="preserve">ORD1168</t>
  </si>
  <si>
    <t xml:space="preserve">ORD1169</t>
  </si>
  <si>
    <t xml:space="preserve">ORD1170</t>
  </si>
  <si>
    <t xml:space="preserve">ORD1171</t>
  </si>
  <si>
    <t xml:space="preserve">ORD1172</t>
  </si>
  <si>
    <t xml:space="preserve">ORD1173</t>
  </si>
  <si>
    <t xml:space="preserve">ORD1174</t>
  </si>
  <si>
    <t xml:space="preserve">ORD1175</t>
  </si>
  <si>
    <t xml:space="preserve">ORD1176</t>
  </si>
  <si>
    <t xml:space="preserve">ORD1177</t>
  </si>
  <si>
    <t xml:space="preserve">ORD1178</t>
  </si>
  <si>
    <t xml:space="preserve">ORD1179</t>
  </si>
  <si>
    <t xml:space="preserve">ORD1180</t>
  </si>
  <si>
    <t xml:space="preserve">Total Sales</t>
  </si>
  <si>
    <t xml:space="preserve">Grand total</t>
  </si>
  <si>
    <t xml:space="preserve">Month filter (slicer substitute):</t>
  </si>
  <si>
    <t xml:space="preserve">All Months</t>
  </si>
  <si>
    <t xml:space="preserve">criteria -&gt;</t>
  </si>
  <si>
    <t xml:space="preserve">Sales in selected month</t>
  </si>
  <si>
    <t xml:space="preserve">FOOD DELIVERY SALES DASHBOARD  |  Apr - Sep 2026</t>
  </si>
  <si>
    <t xml:space="preserve">Select month:</t>
  </si>
  <si>
    <t xml:space="preserve">TOTAL SALES (Rs)</t>
  </si>
  <si>
    <t xml:space="preserve">TOTAL ORDERS</t>
  </si>
  <si>
    <t xml:space="preserve">AVG ORDER VALUE (Rs)</t>
  </si>
  <si>
    <t xml:space="preserve">TOP RESTAURANT</t>
  </si>
  <si>
    <t xml:space="preserve">Top 3 restaurants - monthly sales (feeds line chart; ranks update automatically)</t>
  </si>
  <si>
    <t xml:space="preserve">Sales by restaurant for the selected month (feeds KPI + bar chart)</t>
  </si>
  <si>
    <t xml:space="preserve">Sales</t>
  </si>
  <si>
    <t xml:space="preserve">Filter</t>
  </si>
  <si>
    <t xml:space="preserve">Sum - Amount</t>
  </si>
  <si>
    <t xml:space="preserve">Grand 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</si>
</sst>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#,##0"/>
    <numFmt numFmtId="167" formatCode="@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2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FFF2CC"/>
        <bgColor rgb="FFFFFFFF"/>
      </patternFill>
    </fill>
    <fill>
      <patternFill patternType="solid">
        <fgColor rgb="FF2E75B6"/>
        <bgColor rgb="FF4F81BD"/>
      </patternFill>
    </fill>
    <fill>
      <patternFill patternType="solid">
        <fgColor rgb="FF548235"/>
        <bgColor rgb="FF595959"/>
      </patternFill>
    </fill>
    <fill>
      <patternFill patternType="solid">
        <fgColor rgb="FFC55A11"/>
        <bgColor rgb="FF993300"/>
      </patternFill>
    </fill>
    <fill>
      <patternFill patternType="solid">
        <fgColor rgb="FF7030A0"/>
        <bgColor rgb="FF993366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orner" xfId="20"/>
    <cellStyle name="Pivot Table Value" xfId="21"/>
    <cellStyle name="Pivot Table Field" xfId="22"/>
    <cellStyle name="Pivot Table Category" xfId="23"/>
    <cellStyle name="Pivot Table Title" xfId="24"/>
    <cellStyle name="Pivot Table Result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78787"/>
      <rgbColor rgb="FF9999FF"/>
      <rgbColor rgb="FF7030A0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FF99"/>
      <rgbColor rgb="FF9DC3E6"/>
      <rgbColor rgb="FFFF99CC"/>
      <rgbColor rgb="FFCC99FF"/>
      <rgbColor rgb="FFF4B183"/>
      <rgbColor rgb="FF2E75B6"/>
      <rgbColor rgb="FF33CCCC"/>
      <rgbColor rgb="FF99CC00"/>
      <rgbColor rgb="FFFFCC00"/>
      <rgbColor rgb="FFFF9900"/>
      <rgbColor rgb="FFC55A11"/>
      <rgbColor rgb="FF595959"/>
      <rgbColor rgb="FF4F81BD"/>
      <rgbColor rgb="FF1F3864"/>
      <rgbColor rgb="FF548235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<Relationship Id="rId12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sales by restaurant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T2_Bar_Chart!B1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1f4e79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1f4e79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9dc3e6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c55a11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f4b183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548235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7f60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T2_Bar_Chart!$A$2:$A$9</c:f>
              <c:strCache>
                <c:ptCount val="8"/>
                <c:pt idx="0">
                  <c:v>Burger King</c:v>
                </c:pt>
                <c:pt idx="1">
                  <c:v>Domino's</c:v>
                </c:pt>
                <c:pt idx="2">
                  <c:v>Pizza Hut</c:v>
                </c:pt>
                <c:pt idx="3">
                  <c:v>Biryani Blues</c:v>
                </c:pt>
                <c:pt idx="4">
                  <c:v>Honest Restaurant</c:v>
                </c:pt>
                <c:pt idx="5">
                  <c:v>Gwalia Sweets</c:v>
                </c:pt>
                <c:pt idx="6">
                  <c:v>Wok Express</c:v>
                </c:pt>
                <c:pt idx="7">
                  <c:v>KFC</c:v>
                </c:pt>
              </c:strCache>
            </c:strRef>
          </c:cat>
          <c:val>
            <c:numRef>
              <c:f>T2_Bar_Chart!$B$2:$B$9</c:f>
              <c:numCache>
                <c:formatCode>#,##0</c:formatCode>
                <c:ptCount val="8"/>
                <c:pt idx="0">
                  <c:v>17970</c:v>
                </c:pt>
                <c:pt idx="1">
                  <c:v>19290</c:v>
                </c:pt>
                <c:pt idx="2">
                  <c:v>19280</c:v>
                </c:pt>
                <c:pt idx="3">
                  <c:v>17460</c:v>
                </c:pt>
                <c:pt idx="4">
                  <c:v>12490</c:v>
                </c:pt>
                <c:pt idx="5">
                  <c:v>15300</c:v>
                </c:pt>
                <c:pt idx="6">
                  <c:v>20790</c:v>
                </c:pt>
                <c:pt idx="7">
                  <c:v>22290</c:v>
                </c:pt>
              </c:numCache>
            </c:numRef>
          </c:val>
        </c:ser>
        <c:gapWidth val="150"/>
        <c:overlap val="0"/>
        <c:axId val="10438025"/>
        <c:axId val="25409080"/>
      </c:barChart>
      <c:catAx>
        <c:axId val="104380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409080"/>
        <c:crosses val="autoZero"/>
        <c:auto val="1"/>
        <c:lblAlgn val="ctr"/>
        <c:lblOffset val="100"/>
        <c:noMultiLvlLbl val="0"/>
      </c:catAx>
      <c:valAx>
        <c:axId val="254090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4380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Restaurant sales - selected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T3_Month_Filter!B3</c:f>
              <c:strCache>
                <c:ptCount val="1"/>
                <c:pt idx="0">
                  <c:v>Sales in selected month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T3_Month_Filter!$A$4:$A$11</c:f>
              <c:strCache>
                <c:ptCount val="8"/>
                <c:pt idx="0">
                  <c:v>Burger King</c:v>
                </c:pt>
                <c:pt idx="1">
                  <c:v>Domino's</c:v>
                </c:pt>
                <c:pt idx="2">
                  <c:v>Pizza Hut</c:v>
                </c:pt>
                <c:pt idx="3">
                  <c:v>Biryani Blues</c:v>
                </c:pt>
                <c:pt idx="4">
                  <c:v>Honest Restaurant</c:v>
                </c:pt>
                <c:pt idx="5">
                  <c:v>Gwalia Sweets</c:v>
                </c:pt>
                <c:pt idx="6">
                  <c:v>Wok Express</c:v>
                </c:pt>
                <c:pt idx="7">
                  <c:v>KFC</c:v>
                </c:pt>
              </c:strCache>
            </c:strRef>
          </c:cat>
          <c:val>
            <c:numRef>
              <c:f>T3_Month_Filter!$B$4:$B$11</c:f>
              <c:numCache>
                <c:formatCode>#,##0</c:formatCode>
                <c:ptCount val="8"/>
                <c:pt idx="0">
                  <c:v>17970</c:v>
                </c:pt>
                <c:pt idx="1">
                  <c:v>19290</c:v>
                </c:pt>
                <c:pt idx="2">
                  <c:v>19280</c:v>
                </c:pt>
                <c:pt idx="3">
                  <c:v>17460</c:v>
                </c:pt>
                <c:pt idx="4">
                  <c:v>12490</c:v>
                </c:pt>
                <c:pt idx="5">
                  <c:v>15300</c:v>
                </c:pt>
                <c:pt idx="6">
                  <c:v>20790</c:v>
                </c:pt>
                <c:pt idx="7">
                  <c:v>22290</c:v>
                </c:pt>
              </c:numCache>
            </c:numRef>
          </c:val>
        </c:ser>
        <c:gapWidth val="150"/>
        <c:overlap val="0"/>
        <c:axId val="95209483"/>
        <c:axId val="21017829"/>
      </c:barChart>
      <c:catAx>
        <c:axId val="952094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017829"/>
        <c:crosses val="autoZero"/>
        <c:auto val="1"/>
        <c:lblAlgn val="ctr"/>
        <c:lblOffset val="100"/>
        <c:noMultiLvlLbl val="0"/>
      </c:catAx>
      <c:valAx>
        <c:axId val="210178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2094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Share of total sales by restaurant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T4_Pie_Chart!B1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4e79"/>
              </a:solidFill>
              <a:ln w="0">
                <a:noFill/>
              </a:ln>
            </c:spPr>
          </c:dPt>
          <c:dPt>
            <c:idx val="1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dc3e6"/>
              </a:solidFill>
              <a:ln w="0">
                <a:noFill/>
              </a:ln>
            </c:spPr>
          </c:dPt>
          <c:dPt>
            <c:idx val="3"/>
            <c:spPr>
              <a:solidFill>
                <a:srgbClr val="c55a11"/>
              </a:solidFill>
              <a:ln w="0">
                <a:noFill/>
              </a:ln>
            </c:spPr>
          </c:dPt>
          <c:dPt>
            <c:idx val="4"/>
            <c:spPr>
              <a:solidFill>
                <a:srgbClr val="f4b183"/>
              </a:solidFill>
              <a:ln w="0">
                <a:noFill/>
              </a:ln>
            </c:spPr>
          </c:dPt>
          <c:dPt>
            <c:idx val="5"/>
            <c:spPr>
              <a:solidFill>
                <a:srgbClr val="548235"/>
              </a:solidFill>
              <a:ln w="0">
                <a:noFill/>
              </a:ln>
            </c:spPr>
          </c:dPt>
          <c:dPt>
            <c:idx val="6"/>
            <c:spPr>
              <a:solidFill>
                <a:srgbClr val="a9d18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7f6000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0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0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0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0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0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0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0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0"/>
              <c:showSerName val="0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0"/>
            <c:showSerName val="0"/>
            <c:showPercent val="1"/>
            <c:separator>; </c:separator>
            <c:showLeaderLines val="1"/>
          </c:dLbls>
          <c:cat>
            <c:strRef>
              <c:f>T4_Pie_Chart!$A$2:$A$9</c:f>
              <c:strCache>
                <c:ptCount val="8"/>
                <c:pt idx="0">
                  <c:v>Burger King</c:v>
                </c:pt>
                <c:pt idx="1">
                  <c:v>Domino's</c:v>
                </c:pt>
                <c:pt idx="2">
                  <c:v>Pizza Hut</c:v>
                </c:pt>
                <c:pt idx="3">
                  <c:v>Biryani Blues</c:v>
                </c:pt>
                <c:pt idx="4">
                  <c:v>Honest Restaurant</c:v>
                </c:pt>
                <c:pt idx="5">
                  <c:v>Gwalia Sweets</c:v>
                </c:pt>
                <c:pt idx="6">
                  <c:v>Wok Express</c:v>
                </c:pt>
                <c:pt idx="7">
                  <c:v>KFC</c:v>
                </c:pt>
              </c:strCache>
            </c:strRef>
          </c:cat>
          <c:val>
            <c:numRef>
              <c:f>T4_Pie_Chart!$B$2:$B$9</c:f>
              <c:numCache>
                <c:formatCode>#,##0</c:formatCode>
                <c:ptCount val="8"/>
                <c:pt idx="0">
                  <c:v>17970</c:v>
                </c:pt>
                <c:pt idx="1">
                  <c:v>19290</c:v>
                </c:pt>
                <c:pt idx="2">
                  <c:v>19280</c:v>
                </c:pt>
                <c:pt idx="3">
                  <c:v>17460</c:v>
                </c:pt>
                <c:pt idx="4">
                  <c:v>12490</c:v>
                </c:pt>
                <c:pt idx="5">
                  <c:v>15300</c:v>
                </c:pt>
                <c:pt idx="6">
                  <c:v>20790</c:v>
                </c:pt>
                <c:pt idx="7">
                  <c:v>22290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 - top 3 restaurants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T5_Dashboard!B28</c:f>
              <c:strCache>
                <c:ptCount val="1"/>
                <c:pt idx="0">
                  <c:v>KFC</c:v>
                </c:pt>
              </c:strCache>
            </c:strRef>
          </c:tx>
          <c:spPr>
            <a:solidFill>
              <a:srgbClr val="1f4e79"/>
            </a:solidFill>
            <a:ln w="2808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T5_Dashboard!$C$27:$H$27</c:f>
              <c:strCache>
                <c:ptCount val="6"/>
                <c:pt idx="0">
                  <c:v>Apr 2026</c:v>
                </c:pt>
                <c:pt idx="1">
                  <c:v>May 2026</c:v>
                </c:pt>
                <c:pt idx="2">
                  <c:v>Jun 2026</c:v>
                </c:pt>
                <c:pt idx="3">
                  <c:v>Jul 2026</c:v>
                </c:pt>
                <c:pt idx="4">
                  <c:v>Aug 2026</c:v>
                </c:pt>
                <c:pt idx="5">
                  <c:v>Sep 2026</c:v>
                </c:pt>
              </c:strCache>
            </c:strRef>
          </c:cat>
          <c:val>
            <c:numRef>
              <c:f>T5_Dashboard!$C$28:$H$28</c:f>
              <c:numCache>
                <c:formatCode>#,##0</c:formatCode>
                <c:ptCount val="6"/>
                <c:pt idx="0">
                  <c:v>3800</c:v>
                </c:pt>
                <c:pt idx="1">
                  <c:v>4980</c:v>
                </c:pt>
                <c:pt idx="2">
                  <c:v>2310</c:v>
                </c:pt>
                <c:pt idx="3">
                  <c:v>2510</c:v>
                </c:pt>
                <c:pt idx="4">
                  <c:v>6340</c:v>
                </c:pt>
                <c:pt idx="5">
                  <c:v>2350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T5_Dashboard!B29</c:f>
              <c:strCache>
                <c:ptCount val="1"/>
                <c:pt idx="0">
                  <c:v>Wok Express</c:v>
                </c:pt>
              </c:strCache>
            </c:strRef>
          </c:tx>
          <c:spPr>
            <a:solidFill>
              <a:srgbClr val="c55a11"/>
            </a:solidFill>
            <a:ln w="28080">
              <a:solidFill>
                <a:srgbClr val="c55a1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T5_Dashboard!$C$27:$H$27</c:f>
              <c:strCache>
                <c:ptCount val="6"/>
                <c:pt idx="0">
                  <c:v>Apr 2026</c:v>
                </c:pt>
                <c:pt idx="1">
                  <c:v>May 2026</c:v>
                </c:pt>
                <c:pt idx="2">
                  <c:v>Jun 2026</c:v>
                </c:pt>
                <c:pt idx="3">
                  <c:v>Jul 2026</c:v>
                </c:pt>
                <c:pt idx="4">
                  <c:v>Aug 2026</c:v>
                </c:pt>
                <c:pt idx="5">
                  <c:v>Sep 2026</c:v>
                </c:pt>
              </c:strCache>
            </c:strRef>
          </c:cat>
          <c:val>
            <c:numRef>
              <c:f>T5_Dashboard!$C$29:$H$29</c:f>
              <c:numCache>
                <c:formatCode>#,##0</c:formatCode>
                <c:ptCount val="6"/>
                <c:pt idx="0">
                  <c:v>2420</c:v>
                </c:pt>
                <c:pt idx="1">
                  <c:v>3050</c:v>
                </c:pt>
                <c:pt idx="2">
                  <c:v>6850</c:v>
                </c:pt>
                <c:pt idx="3">
                  <c:v>4870</c:v>
                </c:pt>
                <c:pt idx="4">
                  <c:v>2390</c:v>
                </c:pt>
                <c:pt idx="5">
                  <c:v>1210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T5_Dashboard!B30</c:f>
              <c:strCache>
                <c:ptCount val="1"/>
                <c:pt idx="0">
                  <c:v>Domino's</c:v>
                </c:pt>
              </c:strCache>
            </c:strRef>
          </c:tx>
          <c:spPr>
            <a:solidFill>
              <a:srgbClr val="548235"/>
            </a:solidFill>
            <a:ln w="28080">
              <a:solidFill>
                <a:srgbClr val="5482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T5_Dashboard!$C$27:$H$27</c:f>
              <c:strCache>
                <c:ptCount val="6"/>
                <c:pt idx="0">
                  <c:v>Apr 2026</c:v>
                </c:pt>
                <c:pt idx="1">
                  <c:v>May 2026</c:v>
                </c:pt>
                <c:pt idx="2">
                  <c:v>Jun 2026</c:v>
                </c:pt>
                <c:pt idx="3">
                  <c:v>Jul 2026</c:v>
                </c:pt>
                <c:pt idx="4">
                  <c:v>Aug 2026</c:v>
                </c:pt>
                <c:pt idx="5">
                  <c:v>Sep 2026</c:v>
                </c:pt>
              </c:strCache>
            </c:strRef>
          </c:cat>
          <c:val>
            <c:numRef>
              <c:f>T5_Dashboard!$C$30:$H$30</c:f>
              <c:numCache>
                <c:formatCode>#,##0</c:formatCode>
                <c:ptCount val="6"/>
                <c:pt idx="0">
                  <c:v>2740</c:v>
                </c:pt>
                <c:pt idx="1">
                  <c:v>3510</c:v>
                </c:pt>
                <c:pt idx="2">
                  <c:v>1520</c:v>
                </c:pt>
                <c:pt idx="3">
                  <c:v>4630</c:v>
                </c:pt>
                <c:pt idx="4">
                  <c:v>5880</c:v>
                </c:pt>
                <c:pt idx="5">
                  <c:v>1010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4721487"/>
        <c:axId val="64448553"/>
      </c:lineChart>
      <c:catAx>
        <c:axId val="5472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48553"/>
        <c:crosses val="autoZero"/>
        <c:auto val="1"/>
        <c:lblAlgn val="ctr"/>
        <c:lblOffset val="100"/>
        <c:noMultiLvlLbl val="0"/>
      </c:catAx>
      <c:valAx>
        <c:axId val="644485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(Rs)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7214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restaurant (selected month)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T5_Dashboard!B35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T5_Dashboard!$A$36:$A$43</c:f>
              <c:strCache>
                <c:ptCount val="8"/>
                <c:pt idx="0">
                  <c:v>Burger King</c:v>
                </c:pt>
                <c:pt idx="1">
                  <c:v>Domino's</c:v>
                </c:pt>
                <c:pt idx="2">
                  <c:v>Pizza Hut</c:v>
                </c:pt>
                <c:pt idx="3">
                  <c:v>Biryani Blues</c:v>
                </c:pt>
                <c:pt idx="4">
                  <c:v>Honest Restaurant</c:v>
                </c:pt>
                <c:pt idx="5">
                  <c:v>Gwalia Sweets</c:v>
                </c:pt>
                <c:pt idx="6">
                  <c:v>Wok Express</c:v>
                </c:pt>
                <c:pt idx="7">
                  <c:v>KFC</c:v>
                </c:pt>
              </c:strCache>
            </c:strRef>
          </c:cat>
          <c:val>
            <c:numRef>
              <c:f>T5_Dashboard!$B$36:$B$43</c:f>
              <c:numCache>
                <c:formatCode>#,##0</c:formatCode>
                <c:ptCount val="8"/>
                <c:pt idx="0">
                  <c:v>17970</c:v>
                </c:pt>
                <c:pt idx="1">
                  <c:v>19290</c:v>
                </c:pt>
                <c:pt idx="2">
                  <c:v>19280</c:v>
                </c:pt>
                <c:pt idx="3">
                  <c:v>17460</c:v>
                </c:pt>
                <c:pt idx="4">
                  <c:v>12490</c:v>
                </c:pt>
                <c:pt idx="5">
                  <c:v>15300</c:v>
                </c:pt>
                <c:pt idx="6">
                  <c:v>20790</c:v>
                </c:pt>
                <c:pt idx="7">
                  <c:v>22290</c:v>
                </c:pt>
              </c:numCache>
            </c:numRef>
          </c:val>
        </c:ser>
        <c:gapWidth val="150"/>
        <c:overlap val="0"/>
        <c:axId val="65788100"/>
        <c:axId val="14343443"/>
      </c:barChart>
      <c:catAx>
        <c:axId val="657881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343443"/>
        <c:crosses val="autoZero"/>
        <c:auto val="1"/>
        <c:lblAlgn val="ctr"/>
        <c:lblOffset val="100"/>
        <c:noMultiLvlLbl val="0"/>
      </c:catAx>
      <c:valAx>
        <c:axId val="143434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7881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13</xdr:col>
      <xdr:colOff>4680</xdr:colOff>
      <xdr:row>18</xdr:row>
      <xdr:rowOff>1080</xdr:rowOff>
    </xdr:to>
    <xdr:graphicFrame>
      <xdr:nvGraphicFramePr>
        <xdr:cNvPr id="0" name="Chart 1"/>
        <xdr:cNvGraphicFramePr/>
      </xdr:nvGraphicFramePr>
      <xdr:xfrm>
        <a:off x="3219480" y="19044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0</xdr:rowOff>
    </xdr:from>
    <xdr:to>
      <xdr:col>12</xdr:col>
      <xdr:colOff>29160</xdr:colOff>
      <xdr:row>19</xdr:row>
      <xdr:rowOff>1080</xdr:rowOff>
    </xdr:to>
    <xdr:graphicFrame>
      <xdr:nvGraphicFramePr>
        <xdr:cNvPr id="1" name="Chart 1"/>
        <xdr:cNvGraphicFramePr/>
      </xdr:nvGraphicFramePr>
      <xdr:xfrm>
        <a:off x="5356800" y="3808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11</xdr:col>
      <xdr:colOff>147600</xdr:colOff>
      <xdr:row>19</xdr:row>
      <xdr:rowOff>170640</xdr:rowOff>
    </xdr:to>
    <xdr:graphicFrame>
      <xdr:nvGraphicFramePr>
        <xdr:cNvPr id="2" name="Chart 1"/>
        <xdr:cNvGraphicFramePr/>
      </xdr:nvGraphicFramePr>
      <xdr:xfrm>
        <a:off x="3219480" y="19044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</xdr:row>
      <xdr:rowOff>0</xdr:rowOff>
    </xdr:from>
    <xdr:to>
      <xdr:col>6</xdr:col>
      <xdr:colOff>818280</xdr:colOff>
      <xdr:row>23</xdr:row>
      <xdr:rowOff>11880</xdr:rowOff>
    </xdr:to>
    <xdr:graphicFrame>
      <xdr:nvGraphicFramePr>
        <xdr:cNvPr id="3" name="Chart 1"/>
        <xdr:cNvGraphicFramePr/>
      </xdr:nvGraphicFramePr>
      <xdr:xfrm>
        <a:off x="141120" y="132408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7</xdr:row>
      <xdr:rowOff>0</xdr:rowOff>
    </xdr:from>
    <xdr:to>
      <xdr:col>12</xdr:col>
      <xdr:colOff>817920</xdr:colOff>
      <xdr:row>23</xdr:row>
      <xdr:rowOff>11880</xdr:rowOff>
    </xdr:to>
    <xdr:graphicFrame>
      <xdr:nvGraphicFramePr>
        <xdr:cNvPr id="4" name="Chart 2"/>
        <xdr:cNvGraphicFramePr/>
      </xdr:nvGraphicFramePr>
      <xdr:xfrm>
        <a:off x="5638680" y="1324080"/>
        <a:ext cx="539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80" createdVersion="3">
  <cacheSource type="worksheet">
    <worksheetSource ref="A1:E181" sheet="Data"/>
  </cacheSource>
  <cacheFields count="5">
    <cacheField name="Order ID" numFmtId="0">
      <sharedItems count="180">
        <s v="ORD1001"/>
        <s v="ORD1002"/>
        <s v="ORD1003"/>
        <s v="ORD1004"/>
        <s v="ORD1005"/>
        <s v="ORD1006"/>
        <s v="ORD1007"/>
        <s v="ORD1008"/>
        <s v="ORD1009"/>
        <s v="ORD1010"/>
        <s v="ORD1011"/>
        <s v="ORD1012"/>
        <s v="ORD1013"/>
        <s v="ORD1014"/>
        <s v="ORD1015"/>
        <s v="ORD1016"/>
        <s v="ORD1017"/>
        <s v="ORD1018"/>
        <s v="ORD1019"/>
        <s v="ORD1020"/>
        <s v="ORD1021"/>
        <s v="ORD1022"/>
        <s v="ORD1023"/>
        <s v="ORD1024"/>
        <s v="ORD1025"/>
        <s v="ORD1026"/>
        <s v="ORD1027"/>
        <s v="ORD1028"/>
        <s v="ORD1029"/>
        <s v="ORD1030"/>
        <s v="ORD1031"/>
        <s v="ORD1032"/>
        <s v="ORD1033"/>
        <s v="ORD1034"/>
        <s v="ORD1035"/>
        <s v="ORD1036"/>
        <s v="ORD1037"/>
        <s v="ORD1038"/>
        <s v="ORD1039"/>
        <s v="ORD1040"/>
        <s v="ORD1041"/>
        <s v="ORD1042"/>
        <s v="ORD1043"/>
        <s v="ORD1044"/>
        <s v="ORD1045"/>
        <s v="ORD1046"/>
        <s v="ORD1047"/>
        <s v="ORD1048"/>
        <s v="ORD1049"/>
        <s v="ORD1050"/>
        <s v="ORD1051"/>
        <s v="ORD1052"/>
        <s v="ORD1053"/>
        <s v="ORD1054"/>
        <s v="ORD1055"/>
        <s v="ORD1056"/>
        <s v="ORD1057"/>
        <s v="ORD1058"/>
        <s v="ORD1059"/>
        <s v="ORD1060"/>
        <s v="ORD1061"/>
        <s v="ORD1062"/>
        <s v="ORD1063"/>
        <s v="ORD1064"/>
        <s v="ORD1065"/>
        <s v="ORD1066"/>
        <s v="ORD1067"/>
        <s v="ORD1068"/>
        <s v="ORD1069"/>
        <s v="ORD1070"/>
        <s v="ORD1071"/>
        <s v="ORD1072"/>
        <s v="ORD1073"/>
        <s v="ORD1074"/>
        <s v="ORD1075"/>
        <s v="ORD1076"/>
        <s v="ORD1077"/>
        <s v="ORD1078"/>
        <s v="ORD1079"/>
        <s v="ORD1080"/>
        <s v="ORD1081"/>
        <s v="ORD1082"/>
        <s v="ORD1083"/>
        <s v="ORD1084"/>
        <s v="ORD1085"/>
        <s v="ORD1086"/>
        <s v="ORD1087"/>
        <s v="ORD1088"/>
        <s v="ORD1089"/>
        <s v="ORD1090"/>
        <s v="ORD1091"/>
        <s v="ORD1092"/>
        <s v="ORD1093"/>
        <s v="ORD1094"/>
        <s v="ORD1095"/>
        <s v="ORD1096"/>
        <s v="ORD1097"/>
        <s v="ORD1098"/>
        <s v="ORD1099"/>
        <s v="ORD1100"/>
        <s v="ORD1101"/>
        <s v="ORD1102"/>
        <s v="ORD1103"/>
        <s v="ORD1104"/>
        <s v="ORD1105"/>
        <s v="ORD1106"/>
        <s v="ORD1107"/>
        <s v="ORD1108"/>
        <s v="ORD1109"/>
        <s v="ORD1110"/>
        <s v="ORD1111"/>
        <s v="ORD1112"/>
        <s v="ORD1113"/>
        <s v="ORD1114"/>
        <s v="ORD1115"/>
        <s v="ORD1116"/>
        <s v="ORD1117"/>
        <s v="ORD1118"/>
        <s v="ORD1119"/>
        <s v="ORD1120"/>
        <s v="ORD1121"/>
        <s v="ORD1122"/>
        <s v="ORD1123"/>
        <s v="ORD1124"/>
        <s v="ORD1125"/>
        <s v="ORD1126"/>
        <s v="ORD1127"/>
        <s v="ORD1128"/>
        <s v="ORD1129"/>
        <s v="ORD1130"/>
        <s v="ORD1131"/>
        <s v="ORD1132"/>
        <s v="ORD1133"/>
        <s v="ORD1134"/>
        <s v="ORD1135"/>
        <s v="ORD1136"/>
        <s v="ORD1137"/>
        <s v="ORD1138"/>
        <s v="ORD1139"/>
        <s v="ORD1140"/>
        <s v="ORD1141"/>
        <s v="ORD1142"/>
        <s v="ORD1143"/>
        <s v="ORD1144"/>
        <s v="ORD1145"/>
        <s v="ORD1146"/>
        <s v="ORD1147"/>
        <s v="ORD1148"/>
        <s v="ORD1149"/>
        <s v="ORD1150"/>
        <s v="ORD1151"/>
        <s v="ORD1152"/>
        <s v="ORD1153"/>
        <s v="ORD1154"/>
        <s v="ORD1155"/>
        <s v="ORD1156"/>
        <s v="ORD1157"/>
        <s v="ORD1158"/>
        <s v="ORD1159"/>
        <s v="ORD1160"/>
        <s v="ORD1161"/>
        <s v="ORD1162"/>
        <s v="ORD1163"/>
        <s v="ORD1164"/>
        <s v="ORD1165"/>
        <s v="ORD1166"/>
        <s v="ORD1167"/>
        <s v="ORD1168"/>
        <s v="ORD1169"/>
        <s v="ORD1170"/>
        <s v="ORD1171"/>
        <s v="ORD1172"/>
        <s v="ORD1173"/>
        <s v="ORD1174"/>
        <s v="ORD1175"/>
        <s v="ORD1176"/>
        <s v="ORD1177"/>
        <s v="ORD1178"/>
        <s v="ORD1179"/>
        <s v="ORD1180"/>
      </sharedItems>
    </cacheField>
    <cacheField name="Restaurant" numFmtId="0">
      <sharedItems count="8">
        <s v="Biryani Blues"/>
        <s v="Burger King"/>
        <s v="Domino's"/>
        <s v="Gwalia Sweets"/>
        <s v="Honest Restaurant"/>
        <s v="KFC"/>
        <s v="Pizza Hut"/>
        <s v="Wok Express"/>
      </sharedItems>
    </cacheField>
    <cacheField name="Order Date" numFmtId="0">
      <sharedItems containsSemiMixedTypes="0" containsNonDate="0" containsDate="1" containsString="0" minDate="2026-04-03T00:00:00" maxDate="2026-09-30T00:00:00" count="120">
        <d v="2026-04-03T00:00:00"/>
        <d v="2026-04-07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1T00:00:00"/>
        <d v="2026-04-22T00:00:00"/>
        <d v="2026-04-24T00:00:00"/>
        <d v="2026-04-26T00:00:00"/>
        <d v="2026-04-27T00:00:00"/>
        <d v="2026-04-29T00:00:00"/>
        <d v="2026-05-01T00:00:00"/>
        <d v="2026-05-02T00:00:00"/>
        <d v="2026-05-03T00:00:00"/>
        <d v="2026-05-05T00:00:00"/>
        <d v="2026-05-06T00:00:00"/>
        <d v="2026-05-07T00:00:00"/>
        <d v="2026-05-08T00:00:00"/>
        <d v="2026-05-10T00:00:00"/>
        <d v="2026-05-11T00:00:00"/>
        <d v="2026-05-12T00:00:00"/>
        <d v="2026-05-16T00:00:00"/>
        <d v="2026-05-19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7T00:00:00"/>
        <d v="2026-06-18T00:00:00"/>
        <d v="2026-06-19T00:00:00"/>
        <d v="2026-06-20T00:00:00"/>
        <d v="2026-06-21T00:00:00"/>
        <d v="2026-06-23T00:00:00"/>
        <d v="2026-06-24T00:00:00"/>
        <d v="2026-06-27T00:00:00"/>
        <d v="2026-06-28T00:00:00"/>
        <d v="2026-06-29T00:00:00"/>
        <d v="2026-07-02T00:00:00"/>
        <d v="2026-07-06T00:00:00"/>
        <d v="2026-07-09T00:00:00"/>
        <d v="2026-07-11T00:00:00"/>
        <d v="2026-07-12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6T00:00:00"/>
        <d v="2026-08-09T00:00:00"/>
        <d v="2026-08-10T00:00:00"/>
        <d v="2026-08-12T00:00:00"/>
        <d v="2026-08-15T00:00:00"/>
        <d v="2026-08-16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5T00:00:00"/>
        <d v="2026-09-06T00:00:00"/>
        <d v="2026-09-09T00:00:00"/>
        <d v="2026-09-12T00:00:00"/>
        <d v="2026-09-13T00:00:00"/>
        <d v="2026-09-14T00:00:00"/>
        <d v="2026-09-18T00:00:00"/>
        <d v="2026-09-19T00:00:00"/>
        <d v="2026-09-20T00:00:00"/>
        <d v="2026-09-22T00:00:00"/>
        <d v="2026-09-23T00:00:00"/>
        <d v="2026-09-25T00:00:00"/>
        <d v="2026-09-30T00:00:00"/>
      </sharedItems>
    </cacheField>
    <cacheField name="Month" numFmtId="0">
      <sharedItems count="6">
        <s v="Apr 2026"/>
        <s v="Aug 2026"/>
        <s v="Jul 2026"/>
        <s v="Jun 2026"/>
        <s v="May 2026"/>
        <s v="Sep 2026"/>
      </sharedItems>
    </cacheField>
    <cacheField name="Amount" numFmtId="0">
      <sharedItems containsSemiMixedTypes="0" containsString="0" containsNumber="1" containsInteger="1" minValue="160" maxValue="1380" count="93">
        <n v="160"/>
        <n v="170"/>
        <n v="180"/>
        <n v="190"/>
        <n v="200"/>
        <n v="210"/>
        <n v="230"/>
        <n v="240"/>
        <n v="260"/>
        <n v="270"/>
        <n v="280"/>
        <n v="310"/>
        <n v="320"/>
        <n v="330"/>
        <n v="360"/>
        <n v="370"/>
        <n v="390"/>
        <n v="410"/>
        <n v="420"/>
        <n v="440"/>
        <n v="450"/>
        <n v="460"/>
        <n v="480"/>
        <n v="490"/>
        <n v="500"/>
        <n v="510"/>
        <n v="520"/>
        <n v="530"/>
        <n v="550"/>
        <n v="560"/>
        <n v="590"/>
        <n v="600"/>
        <n v="610"/>
        <n v="620"/>
        <n v="630"/>
        <n v="640"/>
        <n v="650"/>
        <n v="660"/>
        <n v="670"/>
        <n v="680"/>
        <n v="690"/>
        <n v="700"/>
        <n v="720"/>
        <n v="730"/>
        <n v="740"/>
        <n v="750"/>
        <n v="760"/>
        <n v="780"/>
        <n v="790"/>
        <n v="800"/>
        <n v="810"/>
        <n v="820"/>
        <n v="830"/>
        <n v="850"/>
        <n v="860"/>
        <n v="870"/>
        <n v="880"/>
        <n v="890"/>
        <n v="910"/>
        <n v="930"/>
        <n v="940"/>
        <n v="970"/>
        <n v="980"/>
        <n v="990"/>
        <n v="1010"/>
        <n v="1030"/>
        <n v="1040"/>
        <n v="1060"/>
        <n v="1070"/>
        <n v="1080"/>
        <n v="1090"/>
        <n v="1100"/>
        <n v="1120"/>
        <n v="1130"/>
        <n v="1140"/>
        <n v="1160"/>
        <n v="1170"/>
        <n v="1190"/>
        <n v="1210"/>
        <n v="1220"/>
        <n v="1230"/>
        <n v="1240"/>
        <n v="1250"/>
        <n v="1260"/>
        <n v="1270"/>
        <n v="1280"/>
        <n v="1290"/>
        <n v="1300"/>
        <n v="1310"/>
        <n v="1320"/>
        <n v="1360"/>
        <n v="1370"/>
        <n v="138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0">
  <r>
    <x v="0"/>
    <x v="4"/>
    <x v="117"/>
    <x v="5"/>
    <x v="88"/>
  </r>
  <r>
    <x v="1"/>
    <x v="0"/>
    <x v="37"/>
    <x v="4"/>
    <x v="83"/>
  </r>
  <r>
    <x v="2"/>
    <x v="2"/>
    <x v="54"/>
    <x v="3"/>
    <x v="71"/>
  </r>
  <r>
    <x v="3"/>
    <x v="6"/>
    <x v="49"/>
    <x v="3"/>
    <x v="0"/>
  </r>
  <r>
    <x v="4"/>
    <x v="4"/>
    <x v="23"/>
    <x v="4"/>
    <x v="41"/>
  </r>
  <r>
    <x v="5"/>
    <x v="0"/>
    <x v="73"/>
    <x v="2"/>
    <x v="55"/>
  </r>
  <r>
    <x v="6"/>
    <x v="3"/>
    <x v="106"/>
    <x v="1"/>
    <x v="30"/>
  </r>
  <r>
    <x v="7"/>
    <x v="5"/>
    <x v="22"/>
    <x v="4"/>
    <x v="71"/>
  </r>
  <r>
    <x v="8"/>
    <x v="5"/>
    <x v="32"/>
    <x v="4"/>
    <x v="26"/>
  </r>
  <r>
    <x v="9"/>
    <x v="3"/>
    <x v="46"/>
    <x v="3"/>
    <x v="43"/>
  </r>
  <r>
    <x v="10"/>
    <x v="6"/>
    <x v="40"/>
    <x v="4"/>
    <x v="53"/>
  </r>
  <r>
    <x v="11"/>
    <x v="0"/>
    <x v="12"/>
    <x v="0"/>
    <x v="11"/>
  </r>
  <r>
    <x v="12"/>
    <x v="5"/>
    <x v="72"/>
    <x v="2"/>
    <x v="68"/>
  </r>
  <r>
    <x v="13"/>
    <x v="6"/>
    <x v="77"/>
    <x v="2"/>
    <x v="79"/>
  </r>
  <r>
    <x v="14"/>
    <x v="7"/>
    <x v="64"/>
    <x v="3"/>
    <x v="85"/>
  </r>
  <r>
    <x v="15"/>
    <x v="3"/>
    <x v="23"/>
    <x v="4"/>
    <x v="63"/>
  </r>
  <r>
    <x v="16"/>
    <x v="5"/>
    <x v="103"/>
    <x v="1"/>
    <x v="4"/>
  </r>
  <r>
    <x v="17"/>
    <x v="3"/>
    <x v="62"/>
    <x v="3"/>
    <x v="55"/>
  </r>
  <r>
    <x v="18"/>
    <x v="0"/>
    <x v="18"/>
    <x v="0"/>
    <x v="54"/>
  </r>
  <r>
    <x v="19"/>
    <x v="2"/>
    <x v="97"/>
    <x v="1"/>
    <x v="58"/>
  </r>
  <r>
    <x v="20"/>
    <x v="1"/>
    <x v="15"/>
    <x v="0"/>
    <x v="61"/>
  </r>
  <r>
    <x v="21"/>
    <x v="6"/>
    <x v="55"/>
    <x v="3"/>
    <x v="38"/>
  </r>
  <r>
    <x v="22"/>
    <x v="2"/>
    <x v="3"/>
    <x v="0"/>
    <x v="32"/>
  </r>
  <r>
    <x v="23"/>
    <x v="3"/>
    <x v="92"/>
    <x v="1"/>
    <x v="54"/>
  </r>
  <r>
    <x v="24"/>
    <x v="0"/>
    <x v="2"/>
    <x v="0"/>
    <x v="26"/>
  </r>
  <r>
    <x v="25"/>
    <x v="6"/>
    <x v="72"/>
    <x v="2"/>
    <x v="22"/>
  </r>
  <r>
    <x v="26"/>
    <x v="7"/>
    <x v="42"/>
    <x v="3"/>
    <x v="31"/>
  </r>
  <r>
    <x v="27"/>
    <x v="7"/>
    <x v="72"/>
    <x v="2"/>
    <x v="30"/>
  </r>
  <r>
    <x v="28"/>
    <x v="7"/>
    <x v="5"/>
    <x v="0"/>
    <x v="6"/>
  </r>
  <r>
    <x v="29"/>
    <x v="4"/>
    <x v="96"/>
    <x v="1"/>
    <x v="46"/>
  </r>
  <r>
    <x v="30"/>
    <x v="1"/>
    <x v="23"/>
    <x v="4"/>
    <x v="41"/>
  </r>
  <r>
    <x v="31"/>
    <x v="2"/>
    <x v="56"/>
    <x v="3"/>
    <x v="18"/>
  </r>
  <r>
    <x v="32"/>
    <x v="7"/>
    <x v="21"/>
    <x v="4"/>
    <x v="30"/>
  </r>
  <r>
    <x v="33"/>
    <x v="5"/>
    <x v="104"/>
    <x v="1"/>
    <x v="84"/>
  </r>
  <r>
    <x v="34"/>
    <x v="3"/>
    <x v="6"/>
    <x v="0"/>
    <x v="11"/>
  </r>
  <r>
    <x v="35"/>
    <x v="6"/>
    <x v="116"/>
    <x v="5"/>
    <x v="88"/>
  </r>
  <r>
    <x v="36"/>
    <x v="5"/>
    <x v="46"/>
    <x v="3"/>
    <x v="30"/>
  </r>
  <r>
    <x v="37"/>
    <x v="0"/>
    <x v="76"/>
    <x v="2"/>
    <x v="50"/>
  </r>
  <r>
    <x v="38"/>
    <x v="7"/>
    <x v="95"/>
    <x v="1"/>
    <x v="79"/>
  </r>
  <r>
    <x v="39"/>
    <x v="6"/>
    <x v="68"/>
    <x v="2"/>
    <x v="52"/>
  </r>
  <r>
    <x v="40"/>
    <x v="4"/>
    <x v="7"/>
    <x v="0"/>
    <x v="33"/>
  </r>
  <r>
    <x v="41"/>
    <x v="1"/>
    <x v="48"/>
    <x v="3"/>
    <x v="67"/>
  </r>
  <r>
    <x v="42"/>
    <x v="7"/>
    <x v="115"/>
    <x v="5"/>
    <x v="78"/>
  </r>
  <r>
    <x v="43"/>
    <x v="2"/>
    <x v="67"/>
    <x v="2"/>
    <x v="37"/>
  </r>
  <r>
    <x v="44"/>
    <x v="4"/>
    <x v="55"/>
    <x v="3"/>
    <x v="42"/>
  </r>
  <r>
    <x v="45"/>
    <x v="1"/>
    <x v="61"/>
    <x v="3"/>
    <x v="24"/>
  </r>
  <r>
    <x v="46"/>
    <x v="3"/>
    <x v="85"/>
    <x v="1"/>
    <x v="79"/>
  </r>
  <r>
    <x v="47"/>
    <x v="6"/>
    <x v="93"/>
    <x v="1"/>
    <x v="87"/>
  </r>
  <r>
    <x v="48"/>
    <x v="7"/>
    <x v="30"/>
    <x v="4"/>
    <x v="78"/>
  </r>
  <r>
    <x v="49"/>
    <x v="1"/>
    <x v="21"/>
    <x v="4"/>
    <x v="15"/>
  </r>
  <r>
    <x v="50"/>
    <x v="6"/>
    <x v="88"/>
    <x v="1"/>
    <x v="85"/>
  </r>
  <r>
    <x v="51"/>
    <x v="1"/>
    <x v="112"/>
    <x v="5"/>
    <x v="71"/>
  </r>
  <r>
    <x v="52"/>
    <x v="1"/>
    <x v="108"/>
    <x v="5"/>
    <x v="27"/>
  </r>
  <r>
    <x v="53"/>
    <x v="1"/>
    <x v="45"/>
    <x v="3"/>
    <x v="40"/>
  </r>
  <r>
    <x v="54"/>
    <x v="1"/>
    <x v="58"/>
    <x v="3"/>
    <x v="21"/>
  </r>
  <r>
    <x v="55"/>
    <x v="1"/>
    <x v="62"/>
    <x v="3"/>
    <x v="86"/>
  </r>
  <r>
    <x v="56"/>
    <x v="1"/>
    <x v="40"/>
    <x v="4"/>
    <x v="40"/>
  </r>
  <r>
    <x v="57"/>
    <x v="1"/>
    <x v="25"/>
    <x v="4"/>
    <x v="89"/>
  </r>
  <r>
    <x v="58"/>
    <x v="6"/>
    <x v="38"/>
    <x v="4"/>
    <x v="68"/>
  </r>
  <r>
    <x v="59"/>
    <x v="2"/>
    <x v="21"/>
    <x v="4"/>
    <x v="12"/>
  </r>
  <r>
    <x v="60"/>
    <x v="2"/>
    <x v="24"/>
    <x v="4"/>
    <x v="61"/>
  </r>
  <r>
    <x v="61"/>
    <x v="5"/>
    <x v="101"/>
    <x v="1"/>
    <x v="56"/>
  </r>
  <r>
    <x v="62"/>
    <x v="7"/>
    <x v="50"/>
    <x v="3"/>
    <x v="51"/>
  </r>
  <r>
    <x v="63"/>
    <x v="2"/>
    <x v="66"/>
    <x v="2"/>
    <x v="29"/>
  </r>
  <r>
    <x v="64"/>
    <x v="5"/>
    <x v="1"/>
    <x v="0"/>
    <x v="77"/>
  </r>
  <r>
    <x v="65"/>
    <x v="7"/>
    <x v="9"/>
    <x v="0"/>
    <x v="86"/>
  </r>
  <r>
    <x v="66"/>
    <x v="0"/>
    <x v="60"/>
    <x v="3"/>
    <x v="52"/>
  </r>
  <r>
    <x v="67"/>
    <x v="0"/>
    <x v="0"/>
    <x v="0"/>
    <x v="26"/>
  </r>
  <r>
    <x v="68"/>
    <x v="2"/>
    <x v="21"/>
    <x v="4"/>
    <x v="62"/>
  </r>
  <r>
    <x v="69"/>
    <x v="7"/>
    <x v="27"/>
    <x v="4"/>
    <x v="28"/>
  </r>
  <r>
    <x v="70"/>
    <x v="6"/>
    <x v="75"/>
    <x v="2"/>
    <x v="19"/>
  </r>
  <r>
    <x v="71"/>
    <x v="7"/>
    <x v="86"/>
    <x v="1"/>
    <x v="76"/>
  </r>
  <r>
    <x v="72"/>
    <x v="2"/>
    <x v="7"/>
    <x v="0"/>
    <x v="60"/>
  </r>
  <r>
    <x v="73"/>
    <x v="6"/>
    <x v="73"/>
    <x v="2"/>
    <x v="74"/>
  </r>
  <r>
    <x v="74"/>
    <x v="4"/>
    <x v="103"/>
    <x v="1"/>
    <x v="25"/>
  </r>
  <r>
    <x v="75"/>
    <x v="4"/>
    <x v="34"/>
    <x v="4"/>
    <x v="67"/>
  </r>
  <r>
    <x v="76"/>
    <x v="2"/>
    <x v="19"/>
    <x v="4"/>
    <x v="81"/>
  </r>
  <r>
    <x v="77"/>
    <x v="0"/>
    <x v="17"/>
    <x v="0"/>
    <x v="9"/>
  </r>
  <r>
    <x v="78"/>
    <x v="2"/>
    <x v="102"/>
    <x v="1"/>
    <x v="86"/>
  </r>
  <r>
    <x v="79"/>
    <x v="6"/>
    <x v="84"/>
    <x v="1"/>
    <x v="19"/>
  </r>
  <r>
    <x v="80"/>
    <x v="2"/>
    <x v="87"/>
    <x v="1"/>
    <x v="85"/>
  </r>
  <r>
    <x v="81"/>
    <x v="2"/>
    <x v="71"/>
    <x v="2"/>
    <x v="0"/>
  </r>
  <r>
    <x v="82"/>
    <x v="1"/>
    <x v="42"/>
    <x v="3"/>
    <x v="12"/>
  </r>
  <r>
    <x v="83"/>
    <x v="7"/>
    <x v="65"/>
    <x v="2"/>
    <x v="31"/>
  </r>
  <r>
    <x v="84"/>
    <x v="0"/>
    <x v="27"/>
    <x v="4"/>
    <x v="70"/>
  </r>
  <r>
    <x v="85"/>
    <x v="7"/>
    <x v="20"/>
    <x v="4"/>
    <x v="41"/>
  </r>
  <r>
    <x v="86"/>
    <x v="0"/>
    <x v="66"/>
    <x v="2"/>
    <x v="90"/>
  </r>
  <r>
    <x v="87"/>
    <x v="7"/>
    <x v="52"/>
    <x v="3"/>
    <x v="37"/>
  </r>
  <r>
    <x v="88"/>
    <x v="0"/>
    <x v="106"/>
    <x v="1"/>
    <x v="78"/>
  </r>
  <r>
    <x v="89"/>
    <x v="5"/>
    <x v="90"/>
    <x v="1"/>
    <x v="52"/>
  </r>
  <r>
    <x v="90"/>
    <x v="6"/>
    <x v="30"/>
    <x v="4"/>
    <x v="54"/>
  </r>
  <r>
    <x v="91"/>
    <x v="7"/>
    <x v="72"/>
    <x v="2"/>
    <x v="23"/>
  </r>
  <r>
    <x v="92"/>
    <x v="0"/>
    <x v="107"/>
    <x v="5"/>
    <x v="37"/>
  </r>
  <r>
    <x v="93"/>
    <x v="0"/>
    <x v="8"/>
    <x v="0"/>
    <x v="36"/>
  </r>
  <r>
    <x v="94"/>
    <x v="0"/>
    <x v="99"/>
    <x v="1"/>
    <x v="16"/>
  </r>
  <r>
    <x v="95"/>
    <x v="1"/>
    <x v="78"/>
    <x v="2"/>
    <x v="1"/>
  </r>
  <r>
    <x v="96"/>
    <x v="7"/>
    <x v="80"/>
    <x v="2"/>
    <x v="11"/>
  </r>
  <r>
    <x v="97"/>
    <x v="5"/>
    <x v="13"/>
    <x v="0"/>
    <x v="42"/>
  </r>
  <r>
    <x v="98"/>
    <x v="1"/>
    <x v="87"/>
    <x v="1"/>
    <x v="76"/>
  </r>
  <r>
    <x v="99"/>
    <x v="2"/>
    <x v="98"/>
    <x v="1"/>
    <x v="66"/>
  </r>
  <r>
    <x v="100"/>
    <x v="5"/>
    <x v="4"/>
    <x v="0"/>
    <x v="78"/>
  </r>
  <r>
    <x v="101"/>
    <x v="5"/>
    <x v="26"/>
    <x v="4"/>
    <x v="13"/>
  </r>
  <r>
    <x v="102"/>
    <x v="2"/>
    <x v="83"/>
    <x v="2"/>
    <x v="66"/>
  </r>
  <r>
    <x v="103"/>
    <x v="5"/>
    <x v="43"/>
    <x v="3"/>
    <x v="67"/>
  </r>
  <r>
    <x v="104"/>
    <x v="2"/>
    <x v="10"/>
    <x v="0"/>
    <x v="58"/>
  </r>
  <r>
    <x v="105"/>
    <x v="6"/>
    <x v="8"/>
    <x v="0"/>
    <x v="89"/>
  </r>
  <r>
    <x v="106"/>
    <x v="0"/>
    <x v="61"/>
    <x v="3"/>
    <x v="64"/>
  </r>
  <r>
    <x v="107"/>
    <x v="6"/>
    <x v="91"/>
    <x v="1"/>
    <x v="57"/>
  </r>
  <r>
    <x v="108"/>
    <x v="2"/>
    <x v="90"/>
    <x v="1"/>
    <x v="40"/>
  </r>
  <r>
    <x v="109"/>
    <x v="7"/>
    <x v="79"/>
    <x v="2"/>
    <x v="25"/>
  </r>
  <r>
    <x v="110"/>
    <x v="5"/>
    <x v="114"/>
    <x v="5"/>
    <x v="67"/>
  </r>
  <r>
    <x v="111"/>
    <x v="1"/>
    <x v="35"/>
    <x v="4"/>
    <x v="91"/>
  </r>
  <r>
    <x v="112"/>
    <x v="1"/>
    <x v="72"/>
    <x v="2"/>
    <x v="11"/>
  </r>
  <r>
    <x v="113"/>
    <x v="5"/>
    <x v="48"/>
    <x v="3"/>
    <x v="37"/>
  </r>
  <r>
    <x v="114"/>
    <x v="1"/>
    <x v="12"/>
    <x v="0"/>
    <x v="2"/>
  </r>
  <r>
    <x v="115"/>
    <x v="3"/>
    <x v="113"/>
    <x v="5"/>
    <x v="72"/>
  </r>
  <r>
    <x v="116"/>
    <x v="5"/>
    <x v="119"/>
    <x v="5"/>
    <x v="56"/>
  </r>
  <r>
    <x v="117"/>
    <x v="1"/>
    <x v="63"/>
    <x v="3"/>
    <x v="53"/>
  </r>
  <r>
    <x v="118"/>
    <x v="7"/>
    <x v="62"/>
    <x v="3"/>
    <x v="17"/>
  </r>
  <r>
    <x v="119"/>
    <x v="6"/>
    <x v="53"/>
    <x v="3"/>
    <x v="57"/>
  </r>
  <r>
    <x v="120"/>
    <x v="7"/>
    <x v="17"/>
    <x v="0"/>
    <x v="16"/>
  </r>
  <r>
    <x v="121"/>
    <x v="7"/>
    <x v="56"/>
    <x v="3"/>
    <x v="7"/>
  </r>
  <r>
    <x v="122"/>
    <x v="5"/>
    <x v="73"/>
    <x v="2"/>
    <x v="5"/>
  </r>
  <r>
    <x v="123"/>
    <x v="5"/>
    <x v="110"/>
    <x v="5"/>
    <x v="17"/>
  </r>
  <r>
    <x v="124"/>
    <x v="3"/>
    <x v="82"/>
    <x v="2"/>
    <x v="90"/>
  </r>
  <r>
    <x v="125"/>
    <x v="6"/>
    <x v="53"/>
    <x v="3"/>
    <x v="3"/>
  </r>
  <r>
    <x v="126"/>
    <x v="7"/>
    <x v="72"/>
    <x v="2"/>
    <x v="91"/>
  </r>
  <r>
    <x v="127"/>
    <x v="6"/>
    <x v="115"/>
    <x v="5"/>
    <x v="73"/>
  </r>
  <r>
    <x v="128"/>
    <x v="4"/>
    <x v="33"/>
    <x v="4"/>
    <x v="46"/>
  </r>
  <r>
    <x v="129"/>
    <x v="3"/>
    <x v="36"/>
    <x v="4"/>
    <x v="21"/>
  </r>
  <r>
    <x v="130"/>
    <x v="7"/>
    <x v="0"/>
    <x v="0"/>
    <x v="25"/>
  </r>
  <r>
    <x v="131"/>
    <x v="0"/>
    <x v="41"/>
    <x v="3"/>
    <x v="53"/>
  </r>
  <r>
    <x v="132"/>
    <x v="7"/>
    <x v="54"/>
    <x v="3"/>
    <x v="77"/>
  </r>
  <r>
    <x v="133"/>
    <x v="4"/>
    <x v="51"/>
    <x v="3"/>
    <x v="40"/>
  </r>
  <r>
    <x v="134"/>
    <x v="2"/>
    <x v="11"/>
    <x v="0"/>
    <x v="10"/>
  </r>
  <r>
    <x v="135"/>
    <x v="3"/>
    <x v="15"/>
    <x v="0"/>
    <x v="64"/>
  </r>
  <r>
    <x v="136"/>
    <x v="0"/>
    <x v="59"/>
    <x v="3"/>
    <x v="49"/>
  </r>
  <r>
    <x v="137"/>
    <x v="3"/>
    <x v="71"/>
    <x v="2"/>
    <x v="65"/>
  </r>
  <r>
    <x v="138"/>
    <x v="2"/>
    <x v="89"/>
    <x v="1"/>
    <x v="38"/>
  </r>
  <r>
    <x v="139"/>
    <x v="4"/>
    <x v="94"/>
    <x v="1"/>
    <x v="46"/>
  </r>
  <r>
    <x v="140"/>
    <x v="6"/>
    <x v="119"/>
    <x v="5"/>
    <x v="62"/>
  </r>
  <r>
    <x v="141"/>
    <x v="3"/>
    <x v="70"/>
    <x v="2"/>
    <x v="57"/>
  </r>
  <r>
    <x v="142"/>
    <x v="6"/>
    <x v="68"/>
    <x v="2"/>
    <x v="18"/>
  </r>
  <r>
    <x v="143"/>
    <x v="0"/>
    <x v="109"/>
    <x v="5"/>
    <x v="80"/>
  </r>
  <r>
    <x v="144"/>
    <x v="5"/>
    <x v="33"/>
    <x v="4"/>
    <x v="82"/>
  </r>
  <r>
    <x v="145"/>
    <x v="2"/>
    <x v="76"/>
    <x v="2"/>
    <x v="66"/>
  </r>
  <r>
    <x v="146"/>
    <x v="0"/>
    <x v="49"/>
    <x v="3"/>
    <x v="79"/>
  </r>
  <r>
    <x v="147"/>
    <x v="4"/>
    <x v="46"/>
    <x v="3"/>
    <x v="83"/>
  </r>
  <r>
    <x v="148"/>
    <x v="3"/>
    <x v="39"/>
    <x v="4"/>
    <x v="92"/>
  </r>
  <r>
    <x v="149"/>
    <x v="3"/>
    <x v="29"/>
    <x v="4"/>
    <x v="8"/>
  </r>
  <r>
    <x v="150"/>
    <x v="5"/>
    <x v="16"/>
    <x v="0"/>
    <x v="39"/>
  </r>
  <r>
    <x v="151"/>
    <x v="6"/>
    <x v="0"/>
    <x v="0"/>
    <x v="80"/>
  </r>
  <r>
    <x v="152"/>
    <x v="7"/>
    <x v="80"/>
    <x v="2"/>
    <x v="17"/>
  </r>
  <r>
    <x v="153"/>
    <x v="3"/>
    <x v="74"/>
    <x v="2"/>
    <x v="75"/>
  </r>
  <r>
    <x v="154"/>
    <x v="2"/>
    <x v="69"/>
    <x v="2"/>
    <x v="59"/>
  </r>
  <r>
    <x v="155"/>
    <x v="4"/>
    <x v="57"/>
    <x v="3"/>
    <x v="55"/>
  </r>
  <r>
    <x v="156"/>
    <x v="2"/>
    <x v="81"/>
    <x v="2"/>
    <x v="7"/>
  </r>
  <r>
    <x v="157"/>
    <x v="5"/>
    <x v="31"/>
    <x v="4"/>
    <x v="47"/>
  </r>
  <r>
    <x v="158"/>
    <x v="7"/>
    <x v="47"/>
    <x v="3"/>
    <x v="81"/>
  </r>
  <r>
    <x v="159"/>
    <x v="3"/>
    <x v="14"/>
    <x v="0"/>
    <x v="3"/>
  </r>
  <r>
    <x v="160"/>
    <x v="7"/>
    <x v="73"/>
    <x v="2"/>
    <x v="30"/>
  </r>
  <r>
    <x v="161"/>
    <x v="1"/>
    <x v="100"/>
    <x v="1"/>
    <x v="48"/>
  </r>
  <r>
    <x v="162"/>
    <x v="3"/>
    <x v="108"/>
    <x v="5"/>
    <x v="7"/>
  </r>
  <r>
    <x v="163"/>
    <x v="1"/>
    <x v="114"/>
    <x v="5"/>
    <x v="20"/>
  </r>
  <r>
    <x v="164"/>
    <x v="5"/>
    <x v="86"/>
    <x v="1"/>
    <x v="44"/>
  </r>
  <r>
    <x v="165"/>
    <x v="1"/>
    <x v="3"/>
    <x v="0"/>
    <x v="89"/>
  </r>
  <r>
    <x v="166"/>
    <x v="4"/>
    <x v="103"/>
    <x v="1"/>
    <x v="69"/>
  </r>
  <r>
    <x v="167"/>
    <x v="5"/>
    <x v="39"/>
    <x v="4"/>
    <x v="35"/>
  </r>
  <r>
    <x v="168"/>
    <x v="5"/>
    <x v="84"/>
    <x v="1"/>
    <x v="85"/>
  </r>
  <r>
    <x v="169"/>
    <x v="6"/>
    <x v="114"/>
    <x v="5"/>
    <x v="2"/>
  </r>
  <r>
    <x v="170"/>
    <x v="1"/>
    <x v="28"/>
    <x v="4"/>
    <x v="90"/>
  </r>
  <r>
    <x v="171"/>
    <x v="7"/>
    <x v="51"/>
    <x v="3"/>
    <x v="17"/>
  </r>
  <r>
    <x v="172"/>
    <x v="3"/>
    <x v="29"/>
    <x v="4"/>
    <x v="34"/>
  </r>
  <r>
    <x v="173"/>
    <x v="0"/>
    <x v="82"/>
    <x v="2"/>
    <x v="44"/>
  </r>
  <r>
    <x v="174"/>
    <x v="2"/>
    <x v="118"/>
    <x v="5"/>
    <x v="64"/>
  </r>
  <r>
    <x v="175"/>
    <x v="4"/>
    <x v="111"/>
    <x v="5"/>
    <x v="45"/>
  </r>
  <r>
    <x v="176"/>
    <x v="5"/>
    <x v="105"/>
    <x v="1"/>
    <x v="74"/>
  </r>
  <r>
    <x v="177"/>
    <x v="4"/>
    <x v="44"/>
    <x v="3"/>
    <x v="35"/>
  </r>
  <r>
    <x v="178"/>
    <x v="5"/>
    <x v="35"/>
    <x v="4"/>
    <x v="14"/>
  </r>
  <r>
    <x v="179"/>
    <x v="5"/>
    <x v="73"/>
    <x v="2"/>
    <x v="8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T_Restaurant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4:B13" firstHeaderRow="1" firstDataRow="1" firstDataCol="1"/>
  <pivotFields count="5">
    <pivotField compact="0" showAll="0"/>
    <pivotField axis="axisRow" compact="0" showAll="0" defaultSubtotal="0">
      <items count="8">
        <item x="0"/>
        <item x="1"/>
        <item x="2"/>
        <item x="3"/>
        <item x="4"/>
        <item x="5"/>
        <item x="6"/>
        <item x="7"/>
      </items>
    </pivotField>
    <pivotField compact="0" showAll="0"/>
    <pivotField compact="0" showAll="0"/>
    <pivotField dataField="1" compact="0" showAll="0"/>
  </pivotFields>
  <rowFields count="1">
    <field x="1"/>
  </rowFields>
  <dataFields count="1">
    <dataField name="Sum - Amount" fld="4" subtotal="sum" numFmtId="166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5"/>
    <col collapsed="false" customWidth="true" hidden="false" outlineLevel="0" max="3" min="3" style="0" width="22"/>
    <col collapsed="false" customWidth="true" hidden="false" outlineLevel="0" max="4" min="4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23.8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23.85" hidden="false" customHeight="false" outlineLevel="0" collapsed="false">
      <c r="A6" s="4" t="s">
        <v>10</v>
      </c>
      <c r="B6" s="4" t="s">
        <v>11</v>
      </c>
      <c r="C6" s="4" t="s">
        <v>12</v>
      </c>
      <c r="D6" s="4" t="s">
        <v>13</v>
      </c>
    </row>
    <row r="7" customFormat="false" ht="23.85" hidden="false" customHeight="false" outlineLevel="0" collapsed="false">
      <c r="A7" s="4" t="s">
        <v>14</v>
      </c>
      <c r="B7" s="4" t="s">
        <v>15</v>
      </c>
      <c r="C7" s="4" t="s">
        <v>16</v>
      </c>
      <c r="D7" s="4" t="s">
        <v>17</v>
      </c>
    </row>
    <row r="8" customFormat="false" ht="23.85" hidden="false" customHeight="false" outlineLevel="0" collapsed="false">
      <c r="A8" s="4" t="s">
        <v>18</v>
      </c>
      <c r="B8" s="4" t="s">
        <v>19</v>
      </c>
      <c r="C8" s="4" t="s">
        <v>20</v>
      </c>
      <c r="D8" s="4" t="s">
        <v>21</v>
      </c>
    </row>
    <row r="9" customFormat="false" ht="35.05" hidden="false" customHeight="false" outlineLevel="0" collapsed="false">
      <c r="A9" s="4" t="s">
        <v>22</v>
      </c>
      <c r="B9" s="4" t="s">
        <v>23</v>
      </c>
      <c r="C9" s="4" t="s">
        <v>24</v>
      </c>
      <c r="D9" s="4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9"/>
  </cols>
  <sheetData>
    <row r="1" customFormat="false" ht="15" hidden="false" customHeight="false" outlineLevel="0" collapsed="false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</row>
    <row r="2" customFormat="false" ht="15" hidden="false" customHeight="false" outlineLevel="0" collapsed="false">
      <c r="A2" s="5" t="s">
        <v>31</v>
      </c>
      <c r="B2" s="5" t="s">
        <v>32</v>
      </c>
      <c r="C2" s="6" t="n">
        <v>46288</v>
      </c>
      <c r="D2" s="5" t="s">
        <v>33</v>
      </c>
      <c r="E2" s="7" t="n">
        <v>1310</v>
      </c>
    </row>
    <row r="3" customFormat="false" ht="15" hidden="false" customHeight="false" outlineLevel="0" collapsed="false">
      <c r="A3" s="5" t="s">
        <v>34</v>
      </c>
      <c r="B3" s="5" t="s">
        <v>35</v>
      </c>
      <c r="C3" s="6" t="n">
        <v>46170</v>
      </c>
      <c r="D3" s="5" t="s">
        <v>36</v>
      </c>
      <c r="E3" s="7" t="n">
        <v>1260</v>
      </c>
    </row>
    <row r="4" customFormat="false" ht="15" hidden="false" customHeight="false" outlineLevel="0" collapsed="false">
      <c r="A4" s="5" t="s">
        <v>37</v>
      </c>
      <c r="B4" s="5" t="s">
        <v>38</v>
      </c>
      <c r="C4" s="6" t="n">
        <v>46188</v>
      </c>
      <c r="D4" s="5" t="s">
        <v>39</v>
      </c>
      <c r="E4" s="7" t="n">
        <v>1100</v>
      </c>
    </row>
    <row r="5" customFormat="false" ht="15" hidden="false" customHeight="false" outlineLevel="0" collapsed="false">
      <c r="A5" s="5" t="s">
        <v>40</v>
      </c>
      <c r="B5" s="5" t="s">
        <v>41</v>
      </c>
      <c r="C5" s="6" t="n">
        <v>46183</v>
      </c>
      <c r="D5" s="5" t="s">
        <v>39</v>
      </c>
      <c r="E5" s="7" t="n">
        <v>160</v>
      </c>
    </row>
    <row r="6" customFormat="false" ht="15" hidden="false" customHeight="false" outlineLevel="0" collapsed="false">
      <c r="A6" s="5" t="s">
        <v>42</v>
      </c>
      <c r="B6" s="5" t="s">
        <v>32</v>
      </c>
      <c r="C6" s="6" t="n">
        <v>46148</v>
      </c>
      <c r="D6" s="5" t="s">
        <v>36</v>
      </c>
      <c r="E6" s="7" t="n">
        <v>700</v>
      </c>
    </row>
    <row r="7" customFormat="false" ht="15" hidden="false" customHeight="false" outlineLevel="0" collapsed="false">
      <c r="A7" s="5" t="s">
        <v>43</v>
      </c>
      <c r="B7" s="5" t="s">
        <v>35</v>
      </c>
      <c r="C7" s="6" t="n">
        <v>46222</v>
      </c>
      <c r="D7" s="5" t="s">
        <v>44</v>
      </c>
      <c r="E7" s="7" t="n">
        <v>870</v>
      </c>
    </row>
    <row r="8" customFormat="false" ht="15" hidden="false" customHeight="false" outlineLevel="0" collapsed="false">
      <c r="A8" s="5" t="s">
        <v>45</v>
      </c>
      <c r="B8" s="5" t="s">
        <v>46</v>
      </c>
      <c r="C8" s="6" t="n">
        <v>46265</v>
      </c>
      <c r="D8" s="5" t="s">
        <v>47</v>
      </c>
      <c r="E8" s="7" t="n">
        <v>590</v>
      </c>
    </row>
    <row r="9" customFormat="false" ht="15" hidden="false" customHeight="false" outlineLevel="0" collapsed="false">
      <c r="A9" s="5" t="s">
        <v>48</v>
      </c>
      <c r="B9" s="5" t="s">
        <v>49</v>
      </c>
      <c r="C9" s="6" t="n">
        <v>46147</v>
      </c>
      <c r="D9" s="5" t="s">
        <v>36</v>
      </c>
      <c r="E9" s="7" t="n">
        <v>1100</v>
      </c>
    </row>
    <row r="10" customFormat="false" ht="15" hidden="false" customHeight="false" outlineLevel="0" collapsed="false">
      <c r="A10" s="5" t="s">
        <v>50</v>
      </c>
      <c r="B10" s="5" t="s">
        <v>49</v>
      </c>
      <c r="C10" s="6" t="n">
        <v>46164</v>
      </c>
      <c r="D10" s="5" t="s">
        <v>36</v>
      </c>
      <c r="E10" s="7" t="n">
        <v>520</v>
      </c>
    </row>
    <row r="11" customFormat="false" ht="15" hidden="false" customHeight="false" outlineLevel="0" collapsed="false">
      <c r="A11" s="5" t="s">
        <v>51</v>
      </c>
      <c r="B11" s="5" t="s">
        <v>46</v>
      </c>
      <c r="C11" s="6" t="n">
        <v>46180</v>
      </c>
      <c r="D11" s="5" t="s">
        <v>39</v>
      </c>
      <c r="E11" s="7" t="n">
        <v>730</v>
      </c>
    </row>
    <row r="12" customFormat="false" ht="15" hidden="false" customHeight="false" outlineLevel="0" collapsed="false">
      <c r="A12" s="5" t="s">
        <v>52</v>
      </c>
      <c r="B12" s="5" t="s">
        <v>41</v>
      </c>
      <c r="C12" s="6" t="n">
        <v>46173</v>
      </c>
      <c r="D12" s="5" t="s">
        <v>36</v>
      </c>
      <c r="E12" s="7" t="n">
        <v>850</v>
      </c>
    </row>
    <row r="13" customFormat="false" ht="15" hidden="false" customHeight="false" outlineLevel="0" collapsed="false">
      <c r="A13" s="5" t="s">
        <v>53</v>
      </c>
      <c r="B13" s="5" t="s">
        <v>35</v>
      </c>
      <c r="C13" s="6" t="n">
        <v>46131</v>
      </c>
      <c r="D13" s="5" t="s">
        <v>54</v>
      </c>
      <c r="E13" s="7" t="n">
        <v>310</v>
      </c>
    </row>
    <row r="14" customFormat="false" ht="15" hidden="false" customHeight="false" outlineLevel="0" collapsed="false">
      <c r="A14" s="5" t="s">
        <v>55</v>
      </c>
      <c r="B14" s="5" t="s">
        <v>49</v>
      </c>
      <c r="C14" s="6" t="n">
        <v>46221</v>
      </c>
      <c r="D14" s="5" t="s">
        <v>44</v>
      </c>
      <c r="E14" s="7" t="n">
        <v>1070</v>
      </c>
    </row>
    <row r="15" customFormat="false" ht="15" hidden="false" customHeight="false" outlineLevel="0" collapsed="false">
      <c r="A15" s="5" t="s">
        <v>56</v>
      </c>
      <c r="B15" s="5" t="s">
        <v>41</v>
      </c>
      <c r="C15" s="6" t="n">
        <v>46226</v>
      </c>
      <c r="D15" s="5" t="s">
        <v>44</v>
      </c>
      <c r="E15" s="7" t="n">
        <v>1220</v>
      </c>
    </row>
    <row r="16" customFormat="false" ht="15" hidden="false" customHeight="false" outlineLevel="0" collapsed="false">
      <c r="A16" s="5" t="s">
        <v>57</v>
      </c>
      <c r="B16" s="5" t="s">
        <v>58</v>
      </c>
      <c r="C16" s="6" t="n">
        <v>46202</v>
      </c>
      <c r="D16" s="5" t="s">
        <v>39</v>
      </c>
      <c r="E16" s="7" t="n">
        <v>1280</v>
      </c>
    </row>
    <row r="17" customFormat="false" ht="15" hidden="false" customHeight="false" outlineLevel="0" collapsed="false">
      <c r="A17" s="5" t="s">
        <v>59</v>
      </c>
      <c r="B17" s="5" t="s">
        <v>46</v>
      </c>
      <c r="C17" s="6" t="n">
        <v>46148</v>
      </c>
      <c r="D17" s="5" t="s">
        <v>36</v>
      </c>
      <c r="E17" s="7" t="n">
        <v>990</v>
      </c>
    </row>
    <row r="18" customFormat="false" ht="15" hidden="false" customHeight="false" outlineLevel="0" collapsed="false">
      <c r="A18" s="5" t="s">
        <v>60</v>
      </c>
      <c r="B18" s="5" t="s">
        <v>49</v>
      </c>
      <c r="C18" s="6" t="n">
        <v>46261</v>
      </c>
      <c r="D18" s="5" t="s">
        <v>47</v>
      </c>
      <c r="E18" s="7" t="n">
        <v>200</v>
      </c>
    </row>
    <row r="19" customFormat="false" ht="15" hidden="false" customHeight="false" outlineLevel="0" collapsed="false">
      <c r="A19" s="5" t="s">
        <v>61</v>
      </c>
      <c r="B19" s="5" t="s">
        <v>46</v>
      </c>
      <c r="C19" s="6" t="n">
        <v>46200</v>
      </c>
      <c r="D19" s="5" t="s">
        <v>39</v>
      </c>
      <c r="E19" s="7" t="n">
        <v>870</v>
      </c>
    </row>
    <row r="20" customFormat="false" ht="15" hidden="false" customHeight="false" outlineLevel="0" collapsed="false">
      <c r="A20" s="5" t="s">
        <v>62</v>
      </c>
      <c r="B20" s="5" t="s">
        <v>35</v>
      </c>
      <c r="C20" s="6" t="n">
        <v>46141</v>
      </c>
      <c r="D20" s="5" t="s">
        <v>54</v>
      </c>
      <c r="E20" s="7" t="n">
        <v>860</v>
      </c>
    </row>
    <row r="21" customFormat="false" ht="15" hidden="false" customHeight="false" outlineLevel="0" collapsed="false">
      <c r="A21" s="5" t="s">
        <v>63</v>
      </c>
      <c r="B21" s="5" t="s">
        <v>38</v>
      </c>
      <c r="C21" s="6" t="n">
        <v>46255</v>
      </c>
      <c r="D21" s="5" t="s">
        <v>47</v>
      </c>
      <c r="E21" s="7" t="n">
        <v>910</v>
      </c>
    </row>
    <row r="22" customFormat="false" ht="15" hidden="false" customHeight="false" outlineLevel="0" collapsed="false">
      <c r="A22" s="5" t="s">
        <v>64</v>
      </c>
      <c r="B22" s="5" t="s">
        <v>65</v>
      </c>
      <c r="C22" s="6" t="n">
        <v>46136</v>
      </c>
      <c r="D22" s="5" t="s">
        <v>54</v>
      </c>
      <c r="E22" s="7" t="n">
        <v>970</v>
      </c>
    </row>
    <row r="23" customFormat="false" ht="15" hidden="false" customHeight="false" outlineLevel="0" collapsed="false">
      <c r="A23" s="5" t="s">
        <v>66</v>
      </c>
      <c r="B23" s="5" t="s">
        <v>41</v>
      </c>
      <c r="C23" s="6" t="n">
        <v>46190</v>
      </c>
      <c r="D23" s="5" t="s">
        <v>39</v>
      </c>
      <c r="E23" s="7" t="n">
        <v>670</v>
      </c>
    </row>
    <row r="24" customFormat="false" ht="15" hidden="false" customHeight="false" outlineLevel="0" collapsed="false">
      <c r="A24" s="5" t="s">
        <v>67</v>
      </c>
      <c r="B24" s="5" t="s">
        <v>38</v>
      </c>
      <c r="C24" s="6" t="n">
        <v>46122</v>
      </c>
      <c r="D24" s="5" t="s">
        <v>54</v>
      </c>
      <c r="E24" s="7" t="n">
        <v>610</v>
      </c>
    </row>
    <row r="25" customFormat="false" ht="15" hidden="false" customHeight="false" outlineLevel="0" collapsed="false">
      <c r="A25" s="5" t="s">
        <v>68</v>
      </c>
      <c r="B25" s="5" t="s">
        <v>46</v>
      </c>
      <c r="C25" s="6" t="n">
        <v>46249</v>
      </c>
      <c r="D25" s="5" t="s">
        <v>47</v>
      </c>
      <c r="E25" s="7" t="n">
        <v>860</v>
      </c>
    </row>
    <row r="26" customFormat="false" ht="15" hidden="false" customHeight="false" outlineLevel="0" collapsed="false">
      <c r="A26" s="5" t="s">
        <v>69</v>
      </c>
      <c r="B26" s="5" t="s">
        <v>35</v>
      </c>
      <c r="C26" s="6" t="n">
        <v>46121</v>
      </c>
      <c r="D26" s="5" t="s">
        <v>54</v>
      </c>
      <c r="E26" s="7" t="n">
        <v>520</v>
      </c>
    </row>
    <row r="27" customFormat="false" ht="15" hidden="false" customHeight="false" outlineLevel="0" collapsed="false">
      <c r="A27" s="5" t="s">
        <v>70</v>
      </c>
      <c r="B27" s="5" t="s">
        <v>41</v>
      </c>
      <c r="C27" s="6" t="n">
        <v>46221</v>
      </c>
      <c r="D27" s="5" t="s">
        <v>44</v>
      </c>
      <c r="E27" s="7" t="n">
        <v>480</v>
      </c>
    </row>
    <row r="28" customFormat="false" ht="15" hidden="false" customHeight="false" outlineLevel="0" collapsed="false">
      <c r="A28" s="5" t="s">
        <v>71</v>
      </c>
      <c r="B28" s="5" t="s">
        <v>58</v>
      </c>
      <c r="C28" s="6" t="n">
        <v>46175</v>
      </c>
      <c r="D28" s="5" t="s">
        <v>39</v>
      </c>
      <c r="E28" s="7" t="n">
        <v>600</v>
      </c>
    </row>
    <row r="29" customFormat="false" ht="15" hidden="false" customHeight="false" outlineLevel="0" collapsed="false">
      <c r="A29" s="5" t="s">
        <v>72</v>
      </c>
      <c r="B29" s="5" t="s">
        <v>58</v>
      </c>
      <c r="C29" s="6" t="n">
        <v>46221</v>
      </c>
      <c r="D29" s="5" t="s">
        <v>44</v>
      </c>
      <c r="E29" s="7" t="n">
        <v>590</v>
      </c>
    </row>
    <row r="30" customFormat="false" ht="15" hidden="false" customHeight="false" outlineLevel="0" collapsed="false">
      <c r="A30" s="5" t="s">
        <v>73</v>
      </c>
      <c r="B30" s="5" t="s">
        <v>58</v>
      </c>
      <c r="C30" s="6" t="n">
        <v>46124</v>
      </c>
      <c r="D30" s="5" t="s">
        <v>54</v>
      </c>
      <c r="E30" s="7" t="n">
        <v>230</v>
      </c>
    </row>
    <row r="31" customFormat="false" ht="15" hidden="false" customHeight="false" outlineLevel="0" collapsed="false">
      <c r="A31" s="5" t="s">
        <v>74</v>
      </c>
      <c r="B31" s="5" t="s">
        <v>32</v>
      </c>
      <c r="C31" s="6" t="n">
        <v>46254</v>
      </c>
      <c r="D31" s="5" t="s">
        <v>47</v>
      </c>
      <c r="E31" s="7" t="n">
        <v>760</v>
      </c>
    </row>
    <row r="32" customFormat="false" ht="15" hidden="false" customHeight="false" outlineLevel="0" collapsed="false">
      <c r="A32" s="5" t="s">
        <v>75</v>
      </c>
      <c r="B32" s="5" t="s">
        <v>65</v>
      </c>
      <c r="C32" s="6" t="n">
        <v>46148</v>
      </c>
      <c r="D32" s="5" t="s">
        <v>36</v>
      </c>
      <c r="E32" s="7" t="n">
        <v>700</v>
      </c>
    </row>
    <row r="33" customFormat="false" ht="15" hidden="false" customHeight="false" outlineLevel="0" collapsed="false">
      <c r="A33" s="5" t="s">
        <v>76</v>
      </c>
      <c r="B33" s="5" t="s">
        <v>38</v>
      </c>
      <c r="C33" s="6" t="n">
        <v>46191</v>
      </c>
      <c r="D33" s="5" t="s">
        <v>39</v>
      </c>
      <c r="E33" s="7" t="n">
        <v>420</v>
      </c>
    </row>
    <row r="34" customFormat="false" ht="15" hidden="false" customHeight="false" outlineLevel="0" collapsed="false">
      <c r="A34" s="5" t="s">
        <v>77</v>
      </c>
      <c r="B34" s="5" t="s">
        <v>58</v>
      </c>
      <c r="C34" s="6" t="n">
        <v>46145</v>
      </c>
      <c r="D34" s="5" t="s">
        <v>36</v>
      </c>
      <c r="E34" s="7" t="n">
        <v>590</v>
      </c>
    </row>
    <row r="35" customFormat="false" ht="15" hidden="false" customHeight="false" outlineLevel="0" collapsed="false">
      <c r="A35" s="5" t="s">
        <v>78</v>
      </c>
      <c r="B35" s="5" t="s">
        <v>49</v>
      </c>
      <c r="C35" s="6" t="n">
        <v>46262</v>
      </c>
      <c r="D35" s="5" t="s">
        <v>47</v>
      </c>
      <c r="E35" s="7" t="n">
        <v>1270</v>
      </c>
    </row>
    <row r="36" customFormat="false" ht="15" hidden="false" customHeight="false" outlineLevel="0" collapsed="false">
      <c r="A36" s="5" t="s">
        <v>79</v>
      </c>
      <c r="B36" s="5" t="s">
        <v>46</v>
      </c>
      <c r="C36" s="6" t="n">
        <v>46125</v>
      </c>
      <c r="D36" s="5" t="s">
        <v>54</v>
      </c>
      <c r="E36" s="7" t="n">
        <v>310</v>
      </c>
    </row>
    <row r="37" customFormat="false" ht="15" hidden="false" customHeight="false" outlineLevel="0" collapsed="false">
      <c r="A37" s="5" t="s">
        <v>80</v>
      </c>
      <c r="B37" s="5" t="s">
        <v>41</v>
      </c>
      <c r="C37" s="6" t="n">
        <v>46287</v>
      </c>
      <c r="D37" s="5" t="s">
        <v>33</v>
      </c>
      <c r="E37" s="7" t="n">
        <v>1310</v>
      </c>
    </row>
    <row r="38" customFormat="false" ht="15" hidden="false" customHeight="false" outlineLevel="0" collapsed="false">
      <c r="A38" s="5" t="s">
        <v>81</v>
      </c>
      <c r="B38" s="5" t="s">
        <v>49</v>
      </c>
      <c r="C38" s="6" t="n">
        <v>46180</v>
      </c>
      <c r="D38" s="5" t="s">
        <v>39</v>
      </c>
      <c r="E38" s="7" t="n">
        <v>590</v>
      </c>
    </row>
    <row r="39" customFormat="false" ht="15" hidden="false" customHeight="false" outlineLevel="0" collapsed="false">
      <c r="A39" s="5" t="s">
        <v>82</v>
      </c>
      <c r="B39" s="5" t="s">
        <v>35</v>
      </c>
      <c r="C39" s="6" t="n">
        <v>46225</v>
      </c>
      <c r="D39" s="5" t="s">
        <v>44</v>
      </c>
      <c r="E39" s="7" t="n">
        <v>810</v>
      </c>
    </row>
    <row r="40" customFormat="false" ht="15" hidden="false" customHeight="false" outlineLevel="0" collapsed="false">
      <c r="A40" s="5" t="s">
        <v>83</v>
      </c>
      <c r="B40" s="5" t="s">
        <v>58</v>
      </c>
      <c r="C40" s="6" t="n">
        <v>46253</v>
      </c>
      <c r="D40" s="5" t="s">
        <v>47</v>
      </c>
      <c r="E40" s="7" t="n">
        <v>1220</v>
      </c>
    </row>
    <row r="41" customFormat="false" ht="15" hidden="false" customHeight="false" outlineLevel="0" collapsed="false">
      <c r="A41" s="5" t="s">
        <v>84</v>
      </c>
      <c r="B41" s="5" t="s">
        <v>41</v>
      </c>
      <c r="C41" s="6" t="n">
        <v>46214</v>
      </c>
      <c r="D41" s="5" t="s">
        <v>44</v>
      </c>
      <c r="E41" s="7" t="n">
        <v>830</v>
      </c>
    </row>
    <row r="42" customFormat="false" ht="15" hidden="false" customHeight="false" outlineLevel="0" collapsed="false">
      <c r="A42" s="5" t="s">
        <v>85</v>
      </c>
      <c r="B42" s="5" t="s">
        <v>32</v>
      </c>
      <c r="C42" s="6" t="n">
        <v>46126</v>
      </c>
      <c r="D42" s="5" t="s">
        <v>54</v>
      </c>
      <c r="E42" s="7" t="n">
        <v>620</v>
      </c>
    </row>
    <row r="43" customFormat="false" ht="15" hidden="false" customHeight="false" outlineLevel="0" collapsed="false">
      <c r="A43" s="5" t="s">
        <v>86</v>
      </c>
      <c r="B43" s="5" t="s">
        <v>65</v>
      </c>
      <c r="C43" s="6" t="n">
        <v>46182</v>
      </c>
      <c r="D43" s="5" t="s">
        <v>39</v>
      </c>
      <c r="E43" s="7" t="n">
        <v>1060</v>
      </c>
    </row>
    <row r="44" customFormat="false" ht="15" hidden="false" customHeight="false" outlineLevel="0" collapsed="false">
      <c r="A44" s="5" t="s">
        <v>87</v>
      </c>
      <c r="B44" s="5" t="s">
        <v>58</v>
      </c>
      <c r="C44" s="6" t="n">
        <v>46285</v>
      </c>
      <c r="D44" s="5" t="s">
        <v>33</v>
      </c>
      <c r="E44" s="7" t="n">
        <v>1210</v>
      </c>
    </row>
    <row r="45" customFormat="false" ht="15" hidden="false" customHeight="false" outlineLevel="0" collapsed="false">
      <c r="A45" s="5" t="s">
        <v>88</v>
      </c>
      <c r="B45" s="5" t="s">
        <v>38</v>
      </c>
      <c r="C45" s="6" t="n">
        <v>46212</v>
      </c>
      <c r="D45" s="5" t="s">
        <v>44</v>
      </c>
      <c r="E45" s="7" t="n">
        <v>660</v>
      </c>
    </row>
    <row r="46" customFormat="false" ht="15" hidden="false" customHeight="false" outlineLevel="0" collapsed="false">
      <c r="A46" s="5" t="s">
        <v>89</v>
      </c>
      <c r="B46" s="5" t="s">
        <v>32</v>
      </c>
      <c r="C46" s="6" t="n">
        <v>46190</v>
      </c>
      <c r="D46" s="5" t="s">
        <v>39</v>
      </c>
      <c r="E46" s="7" t="n">
        <v>720</v>
      </c>
    </row>
    <row r="47" customFormat="false" ht="15" hidden="false" customHeight="false" outlineLevel="0" collapsed="false">
      <c r="A47" s="5" t="s">
        <v>90</v>
      </c>
      <c r="B47" s="5" t="s">
        <v>65</v>
      </c>
      <c r="C47" s="6" t="n">
        <v>46197</v>
      </c>
      <c r="D47" s="5" t="s">
        <v>39</v>
      </c>
      <c r="E47" s="7" t="n">
        <v>500</v>
      </c>
    </row>
    <row r="48" customFormat="false" ht="15" hidden="false" customHeight="false" outlineLevel="0" collapsed="false">
      <c r="A48" s="5" t="s">
        <v>91</v>
      </c>
      <c r="B48" s="5" t="s">
        <v>46</v>
      </c>
      <c r="C48" s="6" t="n">
        <v>46236</v>
      </c>
      <c r="D48" s="5" t="s">
        <v>47</v>
      </c>
      <c r="E48" s="7" t="n">
        <v>1220</v>
      </c>
    </row>
    <row r="49" customFormat="false" ht="15" hidden="false" customHeight="false" outlineLevel="0" collapsed="false">
      <c r="A49" s="5" t="s">
        <v>92</v>
      </c>
      <c r="B49" s="5" t="s">
        <v>41</v>
      </c>
      <c r="C49" s="6" t="n">
        <v>46250</v>
      </c>
      <c r="D49" s="5" t="s">
        <v>47</v>
      </c>
      <c r="E49" s="7" t="n">
        <v>1300</v>
      </c>
    </row>
    <row r="50" customFormat="false" ht="15" hidden="false" customHeight="false" outlineLevel="0" collapsed="false">
      <c r="A50" s="5" t="s">
        <v>93</v>
      </c>
      <c r="B50" s="5" t="s">
        <v>58</v>
      </c>
      <c r="C50" s="6" t="n">
        <v>46161</v>
      </c>
      <c r="D50" s="5" t="s">
        <v>36</v>
      </c>
      <c r="E50" s="7" t="n">
        <v>1210</v>
      </c>
    </row>
    <row r="51" customFormat="false" ht="15" hidden="false" customHeight="false" outlineLevel="0" collapsed="false">
      <c r="A51" s="5" t="s">
        <v>94</v>
      </c>
      <c r="B51" s="5" t="s">
        <v>65</v>
      </c>
      <c r="C51" s="6" t="n">
        <v>46145</v>
      </c>
      <c r="D51" s="5" t="s">
        <v>36</v>
      </c>
      <c r="E51" s="7" t="n">
        <v>370</v>
      </c>
    </row>
    <row r="52" customFormat="false" ht="15" hidden="false" customHeight="false" outlineLevel="0" collapsed="false">
      <c r="A52" s="5" t="s">
        <v>95</v>
      </c>
      <c r="B52" s="5" t="s">
        <v>41</v>
      </c>
      <c r="C52" s="6" t="n">
        <v>46240</v>
      </c>
      <c r="D52" s="5" t="s">
        <v>47</v>
      </c>
      <c r="E52" s="7" t="n">
        <v>1280</v>
      </c>
    </row>
    <row r="53" customFormat="false" ht="15" hidden="false" customHeight="false" outlineLevel="0" collapsed="false">
      <c r="A53" s="5" t="s">
        <v>96</v>
      </c>
      <c r="B53" s="5" t="s">
        <v>65</v>
      </c>
      <c r="C53" s="6" t="n">
        <v>46279</v>
      </c>
      <c r="D53" s="5" t="s">
        <v>33</v>
      </c>
      <c r="E53" s="7" t="n">
        <v>1100</v>
      </c>
    </row>
    <row r="54" customFormat="false" ht="15" hidden="false" customHeight="false" outlineLevel="0" collapsed="false">
      <c r="A54" s="5" t="s">
        <v>97</v>
      </c>
      <c r="B54" s="5" t="s">
        <v>65</v>
      </c>
      <c r="C54" s="6" t="n">
        <v>46271</v>
      </c>
      <c r="D54" s="5" t="s">
        <v>33</v>
      </c>
      <c r="E54" s="7" t="n">
        <v>530</v>
      </c>
    </row>
    <row r="55" customFormat="false" ht="15" hidden="false" customHeight="false" outlineLevel="0" collapsed="false">
      <c r="A55" s="5" t="s">
        <v>98</v>
      </c>
      <c r="B55" s="5" t="s">
        <v>65</v>
      </c>
      <c r="C55" s="6" t="n">
        <v>46178</v>
      </c>
      <c r="D55" s="5" t="s">
        <v>39</v>
      </c>
      <c r="E55" s="7" t="n">
        <v>690</v>
      </c>
    </row>
    <row r="56" customFormat="false" ht="15" hidden="false" customHeight="false" outlineLevel="0" collapsed="false">
      <c r="A56" s="5" t="s">
        <v>99</v>
      </c>
      <c r="B56" s="5" t="s">
        <v>65</v>
      </c>
      <c r="C56" s="6" t="n">
        <v>46193</v>
      </c>
      <c r="D56" s="5" t="s">
        <v>39</v>
      </c>
      <c r="E56" s="7" t="n">
        <v>460</v>
      </c>
    </row>
    <row r="57" customFormat="false" ht="15" hidden="false" customHeight="false" outlineLevel="0" collapsed="false">
      <c r="A57" s="5" t="s">
        <v>100</v>
      </c>
      <c r="B57" s="5" t="s">
        <v>65</v>
      </c>
      <c r="C57" s="6" t="n">
        <v>46200</v>
      </c>
      <c r="D57" s="5" t="s">
        <v>39</v>
      </c>
      <c r="E57" s="7" t="n">
        <v>1290</v>
      </c>
    </row>
    <row r="58" customFormat="false" ht="15" hidden="false" customHeight="false" outlineLevel="0" collapsed="false">
      <c r="A58" s="5" t="s">
        <v>101</v>
      </c>
      <c r="B58" s="5" t="s">
        <v>65</v>
      </c>
      <c r="C58" s="6" t="n">
        <v>46173</v>
      </c>
      <c r="D58" s="5" t="s">
        <v>36</v>
      </c>
      <c r="E58" s="7" t="n">
        <v>690</v>
      </c>
    </row>
    <row r="59" customFormat="false" ht="15" hidden="false" customHeight="false" outlineLevel="0" collapsed="false">
      <c r="A59" s="5" t="s">
        <v>102</v>
      </c>
      <c r="B59" s="5" t="s">
        <v>65</v>
      </c>
      <c r="C59" s="6" t="n">
        <v>46150</v>
      </c>
      <c r="D59" s="5" t="s">
        <v>36</v>
      </c>
      <c r="E59" s="7" t="n">
        <v>1320</v>
      </c>
    </row>
    <row r="60" customFormat="false" ht="15" hidden="false" customHeight="false" outlineLevel="0" collapsed="false">
      <c r="A60" s="5" t="s">
        <v>103</v>
      </c>
      <c r="B60" s="5" t="s">
        <v>41</v>
      </c>
      <c r="C60" s="6" t="n">
        <v>46171</v>
      </c>
      <c r="D60" s="5" t="s">
        <v>36</v>
      </c>
      <c r="E60" s="7" t="n">
        <v>1070</v>
      </c>
    </row>
    <row r="61" customFormat="false" ht="15" hidden="false" customHeight="false" outlineLevel="0" collapsed="false">
      <c r="A61" s="5" t="s">
        <v>104</v>
      </c>
      <c r="B61" s="5" t="s">
        <v>38</v>
      </c>
      <c r="C61" s="6" t="n">
        <v>46145</v>
      </c>
      <c r="D61" s="5" t="s">
        <v>36</v>
      </c>
      <c r="E61" s="7" t="n">
        <v>320</v>
      </c>
    </row>
    <row r="62" customFormat="false" ht="15" hidden="false" customHeight="false" outlineLevel="0" collapsed="false">
      <c r="A62" s="5" t="s">
        <v>105</v>
      </c>
      <c r="B62" s="5" t="s">
        <v>38</v>
      </c>
      <c r="C62" s="6" t="n">
        <v>46149</v>
      </c>
      <c r="D62" s="5" t="s">
        <v>36</v>
      </c>
      <c r="E62" s="7" t="n">
        <v>970</v>
      </c>
    </row>
    <row r="63" customFormat="false" ht="15" hidden="false" customHeight="false" outlineLevel="0" collapsed="false">
      <c r="A63" s="5" t="s">
        <v>106</v>
      </c>
      <c r="B63" s="5" t="s">
        <v>49</v>
      </c>
      <c r="C63" s="6" t="n">
        <v>46259</v>
      </c>
      <c r="D63" s="5" t="s">
        <v>47</v>
      </c>
      <c r="E63" s="7" t="n">
        <v>880</v>
      </c>
    </row>
    <row r="64" customFormat="false" ht="15" hidden="false" customHeight="false" outlineLevel="0" collapsed="false">
      <c r="A64" s="5" t="s">
        <v>107</v>
      </c>
      <c r="B64" s="5" t="s">
        <v>58</v>
      </c>
      <c r="C64" s="6" t="n">
        <v>46184</v>
      </c>
      <c r="D64" s="5" t="s">
        <v>39</v>
      </c>
      <c r="E64" s="7" t="n">
        <v>820</v>
      </c>
    </row>
    <row r="65" customFormat="false" ht="15" hidden="false" customHeight="false" outlineLevel="0" collapsed="false">
      <c r="A65" s="5" t="s">
        <v>108</v>
      </c>
      <c r="B65" s="5" t="s">
        <v>38</v>
      </c>
      <c r="C65" s="6" t="n">
        <v>46209</v>
      </c>
      <c r="D65" s="5" t="s">
        <v>44</v>
      </c>
      <c r="E65" s="7" t="n">
        <v>560</v>
      </c>
    </row>
    <row r="66" customFormat="false" ht="15" hidden="false" customHeight="false" outlineLevel="0" collapsed="false">
      <c r="A66" s="5" t="s">
        <v>109</v>
      </c>
      <c r="B66" s="5" t="s">
        <v>49</v>
      </c>
      <c r="C66" s="6" t="n">
        <v>46119</v>
      </c>
      <c r="D66" s="5" t="s">
        <v>54</v>
      </c>
      <c r="E66" s="7" t="n">
        <v>1190</v>
      </c>
    </row>
    <row r="67" customFormat="false" ht="15" hidden="false" customHeight="false" outlineLevel="0" collapsed="false">
      <c r="A67" s="5" t="s">
        <v>110</v>
      </c>
      <c r="B67" s="5" t="s">
        <v>58</v>
      </c>
      <c r="C67" s="6" t="n">
        <v>46128</v>
      </c>
      <c r="D67" s="5" t="s">
        <v>54</v>
      </c>
      <c r="E67" s="7" t="n">
        <v>1290</v>
      </c>
    </row>
    <row r="68" customFormat="false" ht="15" hidden="false" customHeight="false" outlineLevel="0" collapsed="false">
      <c r="A68" s="5" t="s">
        <v>111</v>
      </c>
      <c r="B68" s="5" t="s">
        <v>35</v>
      </c>
      <c r="C68" s="6" t="n">
        <v>46196</v>
      </c>
      <c r="D68" s="5" t="s">
        <v>39</v>
      </c>
      <c r="E68" s="7" t="n">
        <v>830</v>
      </c>
    </row>
    <row r="69" customFormat="false" ht="15" hidden="false" customHeight="false" outlineLevel="0" collapsed="false">
      <c r="A69" s="5" t="s">
        <v>112</v>
      </c>
      <c r="B69" s="5" t="s">
        <v>35</v>
      </c>
      <c r="C69" s="6" t="n">
        <v>46115</v>
      </c>
      <c r="D69" s="5" t="s">
        <v>54</v>
      </c>
      <c r="E69" s="7" t="n">
        <v>520</v>
      </c>
    </row>
    <row r="70" customFormat="false" ht="15" hidden="false" customHeight="false" outlineLevel="0" collapsed="false">
      <c r="A70" s="5" t="s">
        <v>113</v>
      </c>
      <c r="B70" s="5" t="s">
        <v>38</v>
      </c>
      <c r="C70" s="6" t="n">
        <v>46145</v>
      </c>
      <c r="D70" s="5" t="s">
        <v>36</v>
      </c>
      <c r="E70" s="7" t="n">
        <v>980</v>
      </c>
    </row>
    <row r="71" customFormat="false" ht="15" hidden="false" customHeight="false" outlineLevel="0" collapsed="false">
      <c r="A71" s="5" t="s">
        <v>114</v>
      </c>
      <c r="B71" s="5" t="s">
        <v>58</v>
      </c>
      <c r="C71" s="6" t="n">
        <v>46153</v>
      </c>
      <c r="D71" s="5" t="s">
        <v>36</v>
      </c>
      <c r="E71" s="7" t="n">
        <v>550</v>
      </c>
    </row>
    <row r="72" customFormat="false" ht="15" hidden="false" customHeight="false" outlineLevel="0" collapsed="false">
      <c r="A72" s="5" t="s">
        <v>115</v>
      </c>
      <c r="B72" s="5" t="s">
        <v>41</v>
      </c>
      <c r="C72" s="6" t="n">
        <v>46224</v>
      </c>
      <c r="D72" s="5" t="s">
        <v>44</v>
      </c>
      <c r="E72" s="7" t="n">
        <v>440</v>
      </c>
    </row>
    <row r="73" customFormat="false" ht="15" hidden="false" customHeight="false" outlineLevel="0" collapsed="false">
      <c r="A73" s="5" t="s">
        <v>116</v>
      </c>
      <c r="B73" s="5" t="s">
        <v>58</v>
      </c>
      <c r="C73" s="6" t="n">
        <v>46237</v>
      </c>
      <c r="D73" s="5" t="s">
        <v>47</v>
      </c>
      <c r="E73" s="7" t="n">
        <v>1170</v>
      </c>
    </row>
    <row r="74" customFormat="false" ht="15" hidden="false" customHeight="false" outlineLevel="0" collapsed="false">
      <c r="A74" s="5" t="s">
        <v>117</v>
      </c>
      <c r="B74" s="5" t="s">
        <v>38</v>
      </c>
      <c r="C74" s="6" t="n">
        <v>46126</v>
      </c>
      <c r="D74" s="5" t="s">
        <v>54</v>
      </c>
      <c r="E74" s="7" t="n">
        <v>940</v>
      </c>
    </row>
    <row r="75" customFormat="false" ht="15" hidden="false" customHeight="false" outlineLevel="0" collapsed="false">
      <c r="A75" s="5" t="s">
        <v>118</v>
      </c>
      <c r="B75" s="5" t="s">
        <v>41</v>
      </c>
      <c r="C75" s="6" t="n">
        <v>46222</v>
      </c>
      <c r="D75" s="5" t="s">
        <v>44</v>
      </c>
      <c r="E75" s="7" t="n">
        <v>1140</v>
      </c>
    </row>
    <row r="76" customFormat="false" ht="15" hidden="false" customHeight="false" outlineLevel="0" collapsed="false">
      <c r="A76" s="5" t="s">
        <v>119</v>
      </c>
      <c r="B76" s="5" t="s">
        <v>32</v>
      </c>
      <c r="C76" s="6" t="n">
        <v>46261</v>
      </c>
      <c r="D76" s="5" t="s">
        <v>47</v>
      </c>
      <c r="E76" s="7" t="n">
        <v>510</v>
      </c>
    </row>
    <row r="77" customFormat="false" ht="15" hidden="false" customHeight="false" outlineLevel="0" collapsed="false">
      <c r="A77" s="5" t="s">
        <v>120</v>
      </c>
      <c r="B77" s="5" t="s">
        <v>32</v>
      </c>
      <c r="C77" s="6" t="n">
        <v>46167</v>
      </c>
      <c r="D77" s="5" t="s">
        <v>36</v>
      </c>
      <c r="E77" s="7" t="n">
        <v>1060</v>
      </c>
    </row>
    <row r="78" customFormat="false" ht="15" hidden="false" customHeight="false" outlineLevel="0" collapsed="false">
      <c r="A78" s="5" t="s">
        <v>121</v>
      </c>
      <c r="B78" s="5" t="s">
        <v>38</v>
      </c>
      <c r="C78" s="6" t="n">
        <v>46143</v>
      </c>
      <c r="D78" s="5" t="s">
        <v>36</v>
      </c>
      <c r="E78" s="7" t="n">
        <v>1240</v>
      </c>
    </row>
    <row r="79" customFormat="false" ht="15" hidden="false" customHeight="false" outlineLevel="0" collapsed="false">
      <c r="A79" s="5" t="s">
        <v>122</v>
      </c>
      <c r="B79" s="5" t="s">
        <v>35</v>
      </c>
      <c r="C79" s="6" t="n">
        <v>46139</v>
      </c>
      <c r="D79" s="5" t="s">
        <v>54</v>
      </c>
      <c r="E79" s="7" t="n">
        <v>270</v>
      </c>
    </row>
    <row r="80" customFormat="false" ht="15" hidden="false" customHeight="false" outlineLevel="0" collapsed="false">
      <c r="A80" s="5" t="s">
        <v>123</v>
      </c>
      <c r="B80" s="5" t="s">
        <v>38</v>
      </c>
      <c r="C80" s="6" t="n">
        <v>46260</v>
      </c>
      <c r="D80" s="5" t="s">
        <v>47</v>
      </c>
      <c r="E80" s="7" t="n">
        <v>1290</v>
      </c>
    </row>
    <row r="81" customFormat="false" ht="15" hidden="false" customHeight="false" outlineLevel="0" collapsed="false">
      <c r="A81" s="5" t="s">
        <v>124</v>
      </c>
      <c r="B81" s="5" t="s">
        <v>41</v>
      </c>
      <c r="C81" s="6" t="n">
        <v>46235</v>
      </c>
      <c r="D81" s="5" t="s">
        <v>47</v>
      </c>
      <c r="E81" s="7" t="n">
        <v>440</v>
      </c>
    </row>
    <row r="82" customFormat="false" ht="15" hidden="false" customHeight="false" outlineLevel="0" collapsed="false">
      <c r="A82" s="5" t="s">
        <v>125</v>
      </c>
      <c r="B82" s="5" t="s">
        <v>38</v>
      </c>
      <c r="C82" s="6" t="n">
        <v>46238</v>
      </c>
      <c r="D82" s="5" t="s">
        <v>47</v>
      </c>
      <c r="E82" s="7" t="n">
        <v>1280</v>
      </c>
    </row>
    <row r="83" customFormat="false" ht="15" hidden="false" customHeight="false" outlineLevel="0" collapsed="false">
      <c r="A83" s="5" t="s">
        <v>126</v>
      </c>
      <c r="B83" s="5" t="s">
        <v>38</v>
      </c>
      <c r="C83" s="6" t="n">
        <v>46220</v>
      </c>
      <c r="D83" s="5" t="s">
        <v>44</v>
      </c>
      <c r="E83" s="7" t="n">
        <v>160</v>
      </c>
    </row>
    <row r="84" customFormat="false" ht="15" hidden="false" customHeight="false" outlineLevel="0" collapsed="false">
      <c r="A84" s="5" t="s">
        <v>127</v>
      </c>
      <c r="B84" s="5" t="s">
        <v>65</v>
      </c>
      <c r="C84" s="6" t="n">
        <v>46175</v>
      </c>
      <c r="D84" s="5" t="s">
        <v>39</v>
      </c>
      <c r="E84" s="7" t="n">
        <v>320</v>
      </c>
    </row>
    <row r="85" customFormat="false" ht="15" hidden="false" customHeight="false" outlineLevel="0" collapsed="false">
      <c r="A85" s="5" t="s">
        <v>128</v>
      </c>
      <c r="B85" s="5" t="s">
        <v>58</v>
      </c>
      <c r="C85" s="6" t="n">
        <v>46205</v>
      </c>
      <c r="D85" s="5" t="s">
        <v>44</v>
      </c>
      <c r="E85" s="7" t="n">
        <v>600</v>
      </c>
    </row>
    <row r="86" customFormat="false" ht="15" hidden="false" customHeight="false" outlineLevel="0" collapsed="false">
      <c r="A86" s="5" t="s">
        <v>129</v>
      </c>
      <c r="B86" s="5" t="s">
        <v>35</v>
      </c>
      <c r="C86" s="6" t="n">
        <v>46153</v>
      </c>
      <c r="D86" s="5" t="s">
        <v>36</v>
      </c>
      <c r="E86" s="7" t="n">
        <v>1090</v>
      </c>
    </row>
    <row r="87" customFormat="false" ht="15" hidden="false" customHeight="false" outlineLevel="0" collapsed="false">
      <c r="A87" s="5" t="s">
        <v>130</v>
      </c>
      <c r="B87" s="5" t="s">
        <v>58</v>
      </c>
      <c r="C87" s="6" t="n">
        <v>46144</v>
      </c>
      <c r="D87" s="5" t="s">
        <v>36</v>
      </c>
      <c r="E87" s="7" t="n">
        <v>700</v>
      </c>
    </row>
    <row r="88" customFormat="false" ht="15" hidden="false" customHeight="false" outlineLevel="0" collapsed="false">
      <c r="A88" s="5" t="s">
        <v>131</v>
      </c>
      <c r="B88" s="5" t="s">
        <v>35</v>
      </c>
      <c r="C88" s="6" t="n">
        <v>46209</v>
      </c>
      <c r="D88" s="5" t="s">
        <v>44</v>
      </c>
      <c r="E88" s="7" t="n">
        <v>1360</v>
      </c>
    </row>
    <row r="89" customFormat="false" ht="15" hidden="false" customHeight="false" outlineLevel="0" collapsed="false">
      <c r="A89" s="5" t="s">
        <v>132</v>
      </c>
      <c r="B89" s="5" t="s">
        <v>58</v>
      </c>
      <c r="C89" s="6" t="n">
        <v>46186</v>
      </c>
      <c r="D89" s="5" t="s">
        <v>39</v>
      </c>
      <c r="E89" s="7" t="n">
        <v>660</v>
      </c>
    </row>
    <row r="90" customFormat="false" ht="15" hidden="false" customHeight="false" outlineLevel="0" collapsed="false">
      <c r="A90" s="5" t="s">
        <v>133</v>
      </c>
      <c r="B90" s="5" t="s">
        <v>35</v>
      </c>
      <c r="C90" s="6" t="n">
        <v>46265</v>
      </c>
      <c r="D90" s="5" t="s">
        <v>47</v>
      </c>
      <c r="E90" s="7" t="n">
        <v>1210</v>
      </c>
    </row>
    <row r="91" customFormat="false" ht="15" hidden="false" customHeight="false" outlineLevel="0" collapsed="false">
      <c r="A91" s="5" t="s">
        <v>134</v>
      </c>
      <c r="B91" s="5" t="s">
        <v>49</v>
      </c>
      <c r="C91" s="6" t="n">
        <v>46244</v>
      </c>
      <c r="D91" s="5" t="s">
        <v>47</v>
      </c>
      <c r="E91" s="7" t="n">
        <v>830</v>
      </c>
    </row>
    <row r="92" customFormat="false" ht="15" hidden="false" customHeight="false" outlineLevel="0" collapsed="false">
      <c r="A92" s="5" t="s">
        <v>135</v>
      </c>
      <c r="B92" s="5" t="s">
        <v>41</v>
      </c>
      <c r="C92" s="6" t="n">
        <v>46161</v>
      </c>
      <c r="D92" s="5" t="s">
        <v>36</v>
      </c>
      <c r="E92" s="7" t="n">
        <v>860</v>
      </c>
    </row>
    <row r="93" customFormat="false" ht="15" hidden="false" customHeight="false" outlineLevel="0" collapsed="false">
      <c r="A93" s="5" t="s">
        <v>136</v>
      </c>
      <c r="B93" s="5" t="s">
        <v>58</v>
      </c>
      <c r="C93" s="6" t="n">
        <v>46221</v>
      </c>
      <c r="D93" s="5" t="s">
        <v>44</v>
      </c>
      <c r="E93" s="7" t="n">
        <v>490</v>
      </c>
    </row>
    <row r="94" customFormat="false" ht="15" hidden="false" customHeight="false" outlineLevel="0" collapsed="false">
      <c r="A94" s="5" t="s">
        <v>137</v>
      </c>
      <c r="B94" s="5" t="s">
        <v>35</v>
      </c>
      <c r="C94" s="6" t="n">
        <v>46270</v>
      </c>
      <c r="D94" s="5" t="s">
        <v>33</v>
      </c>
      <c r="E94" s="7" t="n">
        <v>660</v>
      </c>
    </row>
    <row r="95" customFormat="false" ht="15" hidden="false" customHeight="false" outlineLevel="0" collapsed="false">
      <c r="A95" s="5" t="s">
        <v>138</v>
      </c>
      <c r="B95" s="5" t="s">
        <v>35</v>
      </c>
      <c r="C95" s="6" t="n">
        <v>46127</v>
      </c>
      <c r="D95" s="5" t="s">
        <v>54</v>
      </c>
      <c r="E95" s="7" t="n">
        <v>650</v>
      </c>
    </row>
    <row r="96" customFormat="false" ht="15" hidden="false" customHeight="false" outlineLevel="0" collapsed="false">
      <c r="A96" s="5" t="s">
        <v>139</v>
      </c>
      <c r="B96" s="5" t="s">
        <v>35</v>
      </c>
      <c r="C96" s="6" t="n">
        <v>46257</v>
      </c>
      <c r="D96" s="5" t="s">
        <v>47</v>
      </c>
      <c r="E96" s="7" t="n">
        <v>390</v>
      </c>
    </row>
    <row r="97" customFormat="false" ht="15" hidden="false" customHeight="false" outlineLevel="0" collapsed="false">
      <c r="A97" s="5" t="s">
        <v>140</v>
      </c>
      <c r="B97" s="5" t="s">
        <v>65</v>
      </c>
      <c r="C97" s="6" t="n">
        <v>46227</v>
      </c>
      <c r="D97" s="5" t="s">
        <v>44</v>
      </c>
      <c r="E97" s="7" t="n">
        <v>170</v>
      </c>
    </row>
    <row r="98" customFormat="false" ht="15" hidden="false" customHeight="false" outlineLevel="0" collapsed="false">
      <c r="A98" s="5" t="s">
        <v>141</v>
      </c>
      <c r="B98" s="5" t="s">
        <v>58</v>
      </c>
      <c r="C98" s="6" t="n">
        <v>46229</v>
      </c>
      <c r="D98" s="5" t="s">
        <v>44</v>
      </c>
      <c r="E98" s="7" t="n">
        <v>310</v>
      </c>
    </row>
    <row r="99" customFormat="false" ht="15" hidden="false" customHeight="false" outlineLevel="0" collapsed="false">
      <c r="A99" s="5" t="s">
        <v>142</v>
      </c>
      <c r="B99" s="5" t="s">
        <v>49</v>
      </c>
      <c r="C99" s="6" t="n">
        <v>46133</v>
      </c>
      <c r="D99" s="5" t="s">
        <v>54</v>
      </c>
      <c r="E99" s="7" t="n">
        <v>720</v>
      </c>
    </row>
    <row r="100" customFormat="false" ht="15" hidden="false" customHeight="false" outlineLevel="0" collapsed="false">
      <c r="A100" s="5" t="s">
        <v>143</v>
      </c>
      <c r="B100" s="5" t="s">
        <v>65</v>
      </c>
      <c r="C100" s="6" t="n">
        <v>46238</v>
      </c>
      <c r="D100" s="5" t="s">
        <v>47</v>
      </c>
      <c r="E100" s="7" t="n">
        <v>1170</v>
      </c>
    </row>
    <row r="101" customFormat="false" ht="15" hidden="false" customHeight="false" outlineLevel="0" collapsed="false">
      <c r="A101" s="5" t="s">
        <v>144</v>
      </c>
      <c r="B101" s="5" t="s">
        <v>38</v>
      </c>
      <c r="C101" s="6" t="n">
        <v>46256</v>
      </c>
      <c r="D101" s="5" t="s">
        <v>47</v>
      </c>
      <c r="E101" s="7" t="n">
        <v>1040</v>
      </c>
    </row>
    <row r="102" customFormat="false" ht="15" hidden="false" customHeight="false" outlineLevel="0" collapsed="false">
      <c r="A102" s="5" t="s">
        <v>145</v>
      </c>
      <c r="B102" s="5" t="s">
        <v>49</v>
      </c>
      <c r="C102" s="6" t="n">
        <v>46123</v>
      </c>
      <c r="D102" s="5" t="s">
        <v>54</v>
      </c>
      <c r="E102" s="7" t="n">
        <v>1210</v>
      </c>
    </row>
    <row r="103" customFormat="false" ht="15" hidden="false" customHeight="false" outlineLevel="0" collapsed="false">
      <c r="A103" s="5" t="s">
        <v>146</v>
      </c>
      <c r="B103" s="5" t="s">
        <v>49</v>
      </c>
      <c r="C103" s="6" t="n">
        <v>46152</v>
      </c>
      <c r="D103" s="5" t="s">
        <v>36</v>
      </c>
      <c r="E103" s="7" t="n">
        <v>330</v>
      </c>
    </row>
    <row r="104" customFormat="false" ht="15" hidden="false" customHeight="false" outlineLevel="0" collapsed="false">
      <c r="A104" s="5" t="s">
        <v>147</v>
      </c>
      <c r="B104" s="5" t="s">
        <v>38</v>
      </c>
      <c r="C104" s="6" t="n">
        <v>46234</v>
      </c>
      <c r="D104" s="5" t="s">
        <v>44</v>
      </c>
      <c r="E104" s="7" t="n">
        <v>1040</v>
      </c>
    </row>
    <row r="105" customFormat="false" ht="15" hidden="false" customHeight="false" outlineLevel="0" collapsed="false">
      <c r="A105" s="5" t="s">
        <v>148</v>
      </c>
      <c r="B105" s="5" t="s">
        <v>49</v>
      </c>
      <c r="C105" s="6" t="n">
        <v>46176</v>
      </c>
      <c r="D105" s="5" t="s">
        <v>39</v>
      </c>
      <c r="E105" s="7" t="n">
        <v>1060</v>
      </c>
    </row>
    <row r="106" customFormat="false" ht="15" hidden="false" customHeight="false" outlineLevel="0" collapsed="false">
      <c r="A106" s="5" t="s">
        <v>149</v>
      </c>
      <c r="B106" s="5" t="s">
        <v>38</v>
      </c>
      <c r="C106" s="6" t="n">
        <v>46129</v>
      </c>
      <c r="D106" s="5" t="s">
        <v>54</v>
      </c>
      <c r="E106" s="7" t="n">
        <v>910</v>
      </c>
    </row>
    <row r="107" customFormat="false" ht="15" hidden="false" customHeight="false" outlineLevel="0" collapsed="false">
      <c r="A107" s="5" t="s">
        <v>150</v>
      </c>
      <c r="B107" s="5" t="s">
        <v>41</v>
      </c>
      <c r="C107" s="6" t="n">
        <v>46127</v>
      </c>
      <c r="D107" s="5" t="s">
        <v>54</v>
      </c>
      <c r="E107" s="7" t="n">
        <v>1320</v>
      </c>
    </row>
    <row r="108" customFormat="false" ht="15" hidden="false" customHeight="false" outlineLevel="0" collapsed="false">
      <c r="A108" s="5" t="s">
        <v>151</v>
      </c>
      <c r="B108" s="5" t="s">
        <v>35</v>
      </c>
      <c r="C108" s="6" t="n">
        <v>46197</v>
      </c>
      <c r="D108" s="5" t="s">
        <v>39</v>
      </c>
      <c r="E108" s="7" t="n">
        <v>1010</v>
      </c>
    </row>
    <row r="109" customFormat="false" ht="15" hidden="false" customHeight="false" outlineLevel="0" collapsed="false">
      <c r="A109" s="5" t="s">
        <v>152</v>
      </c>
      <c r="B109" s="5" t="s">
        <v>41</v>
      </c>
      <c r="C109" s="6" t="n">
        <v>46246</v>
      </c>
      <c r="D109" s="5" t="s">
        <v>47</v>
      </c>
      <c r="E109" s="7" t="n">
        <v>890</v>
      </c>
    </row>
    <row r="110" customFormat="false" ht="15" hidden="false" customHeight="false" outlineLevel="0" collapsed="false">
      <c r="A110" s="5" t="s">
        <v>153</v>
      </c>
      <c r="B110" s="5" t="s">
        <v>38</v>
      </c>
      <c r="C110" s="6" t="n">
        <v>46244</v>
      </c>
      <c r="D110" s="5" t="s">
        <v>47</v>
      </c>
      <c r="E110" s="7" t="n">
        <v>690</v>
      </c>
    </row>
    <row r="111" customFormat="false" ht="15" hidden="false" customHeight="false" outlineLevel="0" collapsed="false">
      <c r="A111" s="5" t="s">
        <v>154</v>
      </c>
      <c r="B111" s="5" t="s">
        <v>58</v>
      </c>
      <c r="C111" s="6" t="n">
        <v>46228</v>
      </c>
      <c r="D111" s="5" t="s">
        <v>44</v>
      </c>
      <c r="E111" s="7" t="n">
        <v>510</v>
      </c>
    </row>
    <row r="112" customFormat="false" ht="15" hidden="false" customHeight="false" outlineLevel="0" collapsed="false">
      <c r="A112" s="5" t="s">
        <v>155</v>
      </c>
      <c r="B112" s="5" t="s">
        <v>49</v>
      </c>
      <c r="C112" s="6" t="n">
        <v>46284</v>
      </c>
      <c r="D112" s="5" t="s">
        <v>33</v>
      </c>
      <c r="E112" s="7" t="n">
        <v>1060</v>
      </c>
    </row>
    <row r="113" customFormat="false" ht="15" hidden="false" customHeight="false" outlineLevel="0" collapsed="false">
      <c r="A113" s="5" t="s">
        <v>156</v>
      </c>
      <c r="B113" s="5" t="s">
        <v>65</v>
      </c>
      <c r="C113" s="6" t="n">
        <v>46168</v>
      </c>
      <c r="D113" s="5" t="s">
        <v>36</v>
      </c>
      <c r="E113" s="7" t="n">
        <v>1370</v>
      </c>
    </row>
    <row r="114" customFormat="false" ht="15" hidden="false" customHeight="false" outlineLevel="0" collapsed="false">
      <c r="A114" s="5" t="s">
        <v>157</v>
      </c>
      <c r="B114" s="5" t="s">
        <v>65</v>
      </c>
      <c r="C114" s="6" t="n">
        <v>46221</v>
      </c>
      <c r="D114" s="5" t="s">
        <v>44</v>
      </c>
      <c r="E114" s="7" t="n">
        <v>310</v>
      </c>
    </row>
    <row r="115" customFormat="false" ht="15" hidden="false" customHeight="false" outlineLevel="0" collapsed="false">
      <c r="A115" s="5" t="s">
        <v>158</v>
      </c>
      <c r="B115" s="5" t="s">
        <v>49</v>
      </c>
      <c r="C115" s="6" t="n">
        <v>46182</v>
      </c>
      <c r="D115" s="5" t="s">
        <v>39</v>
      </c>
      <c r="E115" s="7" t="n">
        <v>660</v>
      </c>
    </row>
    <row r="116" customFormat="false" ht="15" hidden="false" customHeight="false" outlineLevel="0" collapsed="false">
      <c r="A116" s="5" t="s">
        <v>159</v>
      </c>
      <c r="B116" s="5" t="s">
        <v>65</v>
      </c>
      <c r="C116" s="6" t="n">
        <v>46131</v>
      </c>
      <c r="D116" s="5" t="s">
        <v>54</v>
      </c>
      <c r="E116" s="7" t="n">
        <v>180</v>
      </c>
    </row>
    <row r="117" customFormat="false" ht="15" hidden="false" customHeight="false" outlineLevel="0" collapsed="false">
      <c r="A117" s="5" t="s">
        <v>160</v>
      </c>
      <c r="B117" s="5" t="s">
        <v>46</v>
      </c>
      <c r="C117" s="6" t="n">
        <v>46283</v>
      </c>
      <c r="D117" s="5" t="s">
        <v>33</v>
      </c>
      <c r="E117" s="7" t="n">
        <v>1120</v>
      </c>
    </row>
    <row r="118" customFormat="false" ht="15" hidden="false" customHeight="false" outlineLevel="0" collapsed="false">
      <c r="A118" s="5" t="s">
        <v>161</v>
      </c>
      <c r="B118" s="5" t="s">
        <v>49</v>
      </c>
      <c r="C118" s="6" t="n">
        <v>46295</v>
      </c>
      <c r="D118" s="5" t="s">
        <v>33</v>
      </c>
      <c r="E118" s="7" t="n">
        <v>880</v>
      </c>
    </row>
    <row r="119" customFormat="false" ht="15" hidden="false" customHeight="false" outlineLevel="0" collapsed="false">
      <c r="A119" s="5" t="s">
        <v>162</v>
      </c>
      <c r="B119" s="5" t="s">
        <v>65</v>
      </c>
      <c r="C119" s="6" t="n">
        <v>46201</v>
      </c>
      <c r="D119" s="5" t="s">
        <v>39</v>
      </c>
      <c r="E119" s="7" t="n">
        <v>850</v>
      </c>
    </row>
    <row r="120" customFormat="false" ht="15" hidden="false" customHeight="false" outlineLevel="0" collapsed="false">
      <c r="A120" s="5" t="s">
        <v>163</v>
      </c>
      <c r="B120" s="5" t="s">
        <v>58</v>
      </c>
      <c r="C120" s="6" t="n">
        <v>46200</v>
      </c>
      <c r="D120" s="5" t="s">
        <v>39</v>
      </c>
      <c r="E120" s="7" t="n">
        <v>410</v>
      </c>
    </row>
    <row r="121" customFormat="false" ht="15" hidden="false" customHeight="false" outlineLevel="0" collapsed="false">
      <c r="A121" s="5" t="s">
        <v>164</v>
      </c>
      <c r="B121" s="5" t="s">
        <v>41</v>
      </c>
      <c r="C121" s="6" t="n">
        <v>46187</v>
      </c>
      <c r="D121" s="5" t="s">
        <v>39</v>
      </c>
      <c r="E121" s="7" t="n">
        <v>890</v>
      </c>
    </row>
    <row r="122" customFormat="false" ht="15" hidden="false" customHeight="false" outlineLevel="0" collapsed="false">
      <c r="A122" s="5" t="s">
        <v>165</v>
      </c>
      <c r="B122" s="5" t="s">
        <v>58</v>
      </c>
      <c r="C122" s="6" t="n">
        <v>46139</v>
      </c>
      <c r="D122" s="5" t="s">
        <v>54</v>
      </c>
      <c r="E122" s="7" t="n">
        <v>390</v>
      </c>
    </row>
    <row r="123" customFormat="false" ht="15" hidden="false" customHeight="false" outlineLevel="0" collapsed="false">
      <c r="A123" s="5" t="s">
        <v>166</v>
      </c>
      <c r="B123" s="5" t="s">
        <v>58</v>
      </c>
      <c r="C123" s="6" t="n">
        <v>46191</v>
      </c>
      <c r="D123" s="5" t="s">
        <v>39</v>
      </c>
      <c r="E123" s="7" t="n">
        <v>240</v>
      </c>
    </row>
    <row r="124" customFormat="false" ht="15" hidden="false" customHeight="false" outlineLevel="0" collapsed="false">
      <c r="A124" s="5" t="s">
        <v>167</v>
      </c>
      <c r="B124" s="5" t="s">
        <v>49</v>
      </c>
      <c r="C124" s="6" t="n">
        <v>46222</v>
      </c>
      <c r="D124" s="5" t="s">
        <v>44</v>
      </c>
      <c r="E124" s="7" t="n">
        <v>210</v>
      </c>
    </row>
    <row r="125" customFormat="false" ht="15" hidden="false" customHeight="false" outlineLevel="0" collapsed="false">
      <c r="A125" s="5" t="s">
        <v>168</v>
      </c>
      <c r="B125" s="5" t="s">
        <v>49</v>
      </c>
      <c r="C125" s="6" t="n">
        <v>46277</v>
      </c>
      <c r="D125" s="5" t="s">
        <v>33</v>
      </c>
      <c r="E125" s="7" t="n">
        <v>410</v>
      </c>
    </row>
    <row r="126" customFormat="false" ht="15" hidden="false" customHeight="false" outlineLevel="0" collapsed="false">
      <c r="A126" s="5" t="s">
        <v>169</v>
      </c>
      <c r="B126" s="5" t="s">
        <v>46</v>
      </c>
      <c r="C126" s="6" t="n">
        <v>46233</v>
      </c>
      <c r="D126" s="5" t="s">
        <v>44</v>
      </c>
      <c r="E126" s="7" t="n">
        <v>1360</v>
      </c>
    </row>
    <row r="127" customFormat="false" ht="15" hidden="false" customHeight="false" outlineLevel="0" collapsed="false">
      <c r="A127" s="5" t="s">
        <v>170</v>
      </c>
      <c r="B127" s="5" t="s">
        <v>41</v>
      </c>
      <c r="C127" s="6" t="n">
        <v>46187</v>
      </c>
      <c r="D127" s="5" t="s">
        <v>39</v>
      </c>
      <c r="E127" s="7" t="n">
        <v>190</v>
      </c>
    </row>
    <row r="128" customFormat="false" ht="15" hidden="false" customHeight="false" outlineLevel="0" collapsed="false">
      <c r="A128" s="5" t="s">
        <v>171</v>
      </c>
      <c r="B128" s="5" t="s">
        <v>58</v>
      </c>
      <c r="C128" s="6" t="n">
        <v>46221</v>
      </c>
      <c r="D128" s="5" t="s">
        <v>44</v>
      </c>
      <c r="E128" s="7" t="n">
        <v>1370</v>
      </c>
    </row>
    <row r="129" customFormat="false" ht="15" hidden="false" customHeight="false" outlineLevel="0" collapsed="false">
      <c r="A129" s="5" t="s">
        <v>172</v>
      </c>
      <c r="B129" s="5" t="s">
        <v>41</v>
      </c>
      <c r="C129" s="6" t="n">
        <v>46285</v>
      </c>
      <c r="D129" s="5" t="s">
        <v>33</v>
      </c>
      <c r="E129" s="7" t="n">
        <v>1130</v>
      </c>
    </row>
    <row r="130" customFormat="false" ht="15" hidden="false" customHeight="false" outlineLevel="0" collapsed="false">
      <c r="A130" s="5" t="s">
        <v>173</v>
      </c>
      <c r="B130" s="5" t="s">
        <v>32</v>
      </c>
      <c r="C130" s="6" t="n">
        <v>46165</v>
      </c>
      <c r="D130" s="5" t="s">
        <v>36</v>
      </c>
      <c r="E130" s="7" t="n">
        <v>760</v>
      </c>
    </row>
    <row r="131" customFormat="false" ht="15" hidden="false" customHeight="false" outlineLevel="0" collapsed="false">
      <c r="A131" s="5" t="s">
        <v>174</v>
      </c>
      <c r="B131" s="5" t="s">
        <v>46</v>
      </c>
      <c r="C131" s="6" t="n">
        <v>46169</v>
      </c>
      <c r="D131" s="5" t="s">
        <v>36</v>
      </c>
      <c r="E131" s="7" t="n">
        <v>460</v>
      </c>
    </row>
    <row r="132" customFormat="false" ht="15" hidden="false" customHeight="false" outlineLevel="0" collapsed="false">
      <c r="A132" s="5" t="s">
        <v>175</v>
      </c>
      <c r="B132" s="5" t="s">
        <v>58</v>
      </c>
      <c r="C132" s="6" t="n">
        <v>46115</v>
      </c>
      <c r="D132" s="5" t="s">
        <v>54</v>
      </c>
      <c r="E132" s="7" t="n">
        <v>510</v>
      </c>
    </row>
    <row r="133" customFormat="false" ht="15" hidden="false" customHeight="false" outlineLevel="0" collapsed="false">
      <c r="A133" s="5" t="s">
        <v>176</v>
      </c>
      <c r="B133" s="5" t="s">
        <v>35</v>
      </c>
      <c r="C133" s="6" t="n">
        <v>46174</v>
      </c>
      <c r="D133" s="5" t="s">
        <v>39</v>
      </c>
      <c r="E133" s="7" t="n">
        <v>850</v>
      </c>
    </row>
    <row r="134" customFormat="false" ht="15" hidden="false" customHeight="false" outlineLevel="0" collapsed="false">
      <c r="A134" s="5" t="s">
        <v>177</v>
      </c>
      <c r="B134" s="5" t="s">
        <v>58</v>
      </c>
      <c r="C134" s="6" t="n">
        <v>46188</v>
      </c>
      <c r="D134" s="5" t="s">
        <v>39</v>
      </c>
      <c r="E134" s="7" t="n">
        <v>1190</v>
      </c>
    </row>
    <row r="135" customFormat="false" ht="15" hidden="false" customHeight="false" outlineLevel="0" collapsed="false">
      <c r="A135" s="5" t="s">
        <v>178</v>
      </c>
      <c r="B135" s="5" t="s">
        <v>32</v>
      </c>
      <c r="C135" s="6" t="n">
        <v>46185</v>
      </c>
      <c r="D135" s="5" t="s">
        <v>39</v>
      </c>
      <c r="E135" s="7" t="n">
        <v>690</v>
      </c>
    </row>
    <row r="136" customFormat="false" ht="15" hidden="false" customHeight="false" outlineLevel="0" collapsed="false">
      <c r="A136" s="5" t="s">
        <v>179</v>
      </c>
      <c r="B136" s="5" t="s">
        <v>38</v>
      </c>
      <c r="C136" s="6" t="n">
        <v>46130</v>
      </c>
      <c r="D136" s="5" t="s">
        <v>54</v>
      </c>
      <c r="E136" s="7" t="n">
        <v>280</v>
      </c>
    </row>
    <row r="137" customFormat="false" ht="15" hidden="false" customHeight="false" outlineLevel="0" collapsed="false">
      <c r="A137" s="5" t="s">
        <v>180</v>
      </c>
      <c r="B137" s="5" t="s">
        <v>46</v>
      </c>
      <c r="C137" s="6" t="n">
        <v>46136</v>
      </c>
      <c r="D137" s="5" t="s">
        <v>54</v>
      </c>
      <c r="E137" s="7" t="n">
        <v>1010</v>
      </c>
    </row>
    <row r="138" customFormat="false" ht="15" hidden="false" customHeight="false" outlineLevel="0" collapsed="false">
      <c r="A138" s="5" t="s">
        <v>181</v>
      </c>
      <c r="B138" s="5" t="s">
        <v>35</v>
      </c>
      <c r="C138" s="6" t="n">
        <v>46194</v>
      </c>
      <c r="D138" s="5" t="s">
        <v>39</v>
      </c>
      <c r="E138" s="7" t="n">
        <v>800</v>
      </c>
    </row>
    <row r="139" customFormat="false" ht="15" hidden="false" customHeight="false" outlineLevel="0" collapsed="false">
      <c r="A139" s="5" t="s">
        <v>182</v>
      </c>
      <c r="B139" s="5" t="s">
        <v>46</v>
      </c>
      <c r="C139" s="6" t="n">
        <v>46220</v>
      </c>
      <c r="D139" s="5" t="s">
        <v>44</v>
      </c>
      <c r="E139" s="7" t="n">
        <v>1030</v>
      </c>
    </row>
    <row r="140" customFormat="false" ht="15" hidden="false" customHeight="false" outlineLevel="0" collapsed="false">
      <c r="A140" s="5" t="s">
        <v>183</v>
      </c>
      <c r="B140" s="5" t="s">
        <v>38</v>
      </c>
      <c r="C140" s="6" t="n">
        <v>46243</v>
      </c>
      <c r="D140" s="5" t="s">
        <v>47</v>
      </c>
      <c r="E140" s="7" t="n">
        <v>670</v>
      </c>
    </row>
    <row r="141" customFormat="false" ht="15" hidden="false" customHeight="false" outlineLevel="0" collapsed="false">
      <c r="A141" s="5" t="s">
        <v>184</v>
      </c>
      <c r="B141" s="5" t="s">
        <v>32</v>
      </c>
      <c r="C141" s="6" t="n">
        <v>46252</v>
      </c>
      <c r="D141" s="5" t="s">
        <v>47</v>
      </c>
      <c r="E141" s="7" t="n">
        <v>760</v>
      </c>
    </row>
    <row r="142" customFormat="false" ht="15" hidden="false" customHeight="false" outlineLevel="0" collapsed="false">
      <c r="A142" s="5" t="s">
        <v>185</v>
      </c>
      <c r="B142" s="5" t="s">
        <v>41</v>
      </c>
      <c r="C142" s="6" t="n">
        <v>46295</v>
      </c>
      <c r="D142" s="5" t="s">
        <v>33</v>
      </c>
      <c r="E142" s="7" t="n">
        <v>980</v>
      </c>
    </row>
    <row r="143" customFormat="false" ht="15" hidden="false" customHeight="false" outlineLevel="0" collapsed="false">
      <c r="A143" s="5" t="s">
        <v>186</v>
      </c>
      <c r="B143" s="5" t="s">
        <v>46</v>
      </c>
      <c r="C143" s="6" t="n">
        <v>46219</v>
      </c>
      <c r="D143" s="5" t="s">
        <v>44</v>
      </c>
      <c r="E143" s="7" t="n">
        <v>890</v>
      </c>
    </row>
    <row r="144" customFormat="false" ht="15" hidden="false" customHeight="false" outlineLevel="0" collapsed="false">
      <c r="A144" s="5" t="s">
        <v>187</v>
      </c>
      <c r="B144" s="5" t="s">
        <v>41</v>
      </c>
      <c r="C144" s="6" t="n">
        <v>46214</v>
      </c>
      <c r="D144" s="5" t="s">
        <v>44</v>
      </c>
      <c r="E144" s="7" t="n">
        <v>420</v>
      </c>
    </row>
    <row r="145" customFormat="false" ht="15" hidden="false" customHeight="false" outlineLevel="0" collapsed="false">
      <c r="A145" s="5" t="s">
        <v>188</v>
      </c>
      <c r="B145" s="5" t="s">
        <v>35</v>
      </c>
      <c r="C145" s="6" t="n">
        <v>46274</v>
      </c>
      <c r="D145" s="5" t="s">
        <v>33</v>
      </c>
      <c r="E145" s="7" t="n">
        <v>1230</v>
      </c>
    </row>
    <row r="146" customFormat="false" ht="15" hidden="false" customHeight="false" outlineLevel="0" collapsed="false">
      <c r="A146" s="5" t="s">
        <v>189</v>
      </c>
      <c r="B146" s="5" t="s">
        <v>49</v>
      </c>
      <c r="C146" s="6" t="n">
        <v>46165</v>
      </c>
      <c r="D146" s="5" t="s">
        <v>36</v>
      </c>
      <c r="E146" s="7" t="n">
        <v>1250</v>
      </c>
    </row>
    <row r="147" customFormat="false" ht="15" hidden="false" customHeight="false" outlineLevel="0" collapsed="false">
      <c r="A147" s="5" t="s">
        <v>190</v>
      </c>
      <c r="B147" s="5" t="s">
        <v>38</v>
      </c>
      <c r="C147" s="6" t="n">
        <v>46225</v>
      </c>
      <c r="D147" s="5" t="s">
        <v>44</v>
      </c>
      <c r="E147" s="7" t="n">
        <v>1040</v>
      </c>
    </row>
    <row r="148" customFormat="false" ht="15" hidden="false" customHeight="false" outlineLevel="0" collapsed="false">
      <c r="A148" s="5" t="s">
        <v>191</v>
      </c>
      <c r="B148" s="5" t="s">
        <v>35</v>
      </c>
      <c r="C148" s="6" t="n">
        <v>46183</v>
      </c>
      <c r="D148" s="5" t="s">
        <v>39</v>
      </c>
      <c r="E148" s="7" t="n">
        <v>1220</v>
      </c>
    </row>
    <row r="149" customFormat="false" ht="15" hidden="false" customHeight="false" outlineLevel="0" collapsed="false">
      <c r="A149" s="5" t="s">
        <v>192</v>
      </c>
      <c r="B149" s="5" t="s">
        <v>32</v>
      </c>
      <c r="C149" s="6" t="n">
        <v>46180</v>
      </c>
      <c r="D149" s="5" t="s">
        <v>39</v>
      </c>
      <c r="E149" s="7" t="n">
        <v>1260</v>
      </c>
    </row>
    <row r="150" customFormat="false" ht="15" hidden="false" customHeight="false" outlineLevel="0" collapsed="false">
      <c r="A150" s="5" t="s">
        <v>193</v>
      </c>
      <c r="B150" s="5" t="s">
        <v>46</v>
      </c>
      <c r="C150" s="6" t="n">
        <v>46172</v>
      </c>
      <c r="D150" s="5" t="s">
        <v>36</v>
      </c>
      <c r="E150" s="7" t="n">
        <v>1380</v>
      </c>
    </row>
    <row r="151" customFormat="false" ht="15" hidden="false" customHeight="false" outlineLevel="0" collapsed="false">
      <c r="A151" s="5" t="s">
        <v>194</v>
      </c>
      <c r="B151" s="5" t="s">
        <v>46</v>
      </c>
      <c r="C151" s="6" t="n">
        <v>46158</v>
      </c>
      <c r="D151" s="5" t="s">
        <v>36</v>
      </c>
      <c r="E151" s="7" t="n">
        <v>260</v>
      </c>
    </row>
    <row r="152" customFormat="false" ht="15" hidden="false" customHeight="false" outlineLevel="0" collapsed="false">
      <c r="A152" s="5" t="s">
        <v>195</v>
      </c>
      <c r="B152" s="5" t="s">
        <v>49</v>
      </c>
      <c r="C152" s="6" t="n">
        <v>46138</v>
      </c>
      <c r="D152" s="5" t="s">
        <v>54</v>
      </c>
      <c r="E152" s="7" t="n">
        <v>680</v>
      </c>
    </row>
    <row r="153" customFormat="false" ht="15" hidden="false" customHeight="false" outlineLevel="0" collapsed="false">
      <c r="A153" s="5" t="s">
        <v>196</v>
      </c>
      <c r="B153" s="5" t="s">
        <v>41</v>
      </c>
      <c r="C153" s="6" t="n">
        <v>46115</v>
      </c>
      <c r="D153" s="5" t="s">
        <v>54</v>
      </c>
      <c r="E153" s="7" t="n">
        <v>1230</v>
      </c>
    </row>
    <row r="154" customFormat="false" ht="15" hidden="false" customHeight="false" outlineLevel="0" collapsed="false">
      <c r="A154" s="5" t="s">
        <v>197</v>
      </c>
      <c r="B154" s="5" t="s">
        <v>58</v>
      </c>
      <c r="C154" s="6" t="n">
        <v>46229</v>
      </c>
      <c r="D154" s="5" t="s">
        <v>44</v>
      </c>
      <c r="E154" s="7" t="n">
        <v>410</v>
      </c>
    </row>
    <row r="155" customFormat="false" ht="15" hidden="false" customHeight="false" outlineLevel="0" collapsed="false">
      <c r="A155" s="5" t="s">
        <v>198</v>
      </c>
      <c r="B155" s="5" t="s">
        <v>46</v>
      </c>
      <c r="C155" s="6" t="n">
        <v>46223</v>
      </c>
      <c r="D155" s="5" t="s">
        <v>44</v>
      </c>
      <c r="E155" s="7" t="n">
        <v>1160</v>
      </c>
    </row>
    <row r="156" customFormat="false" ht="15" hidden="false" customHeight="false" outlineLevel="0" collapsed="false">
      <c r="A156" s="5" t="s">
        <v>199</v>
      </c>
      <c r="B156" s="5" t="s">
        <v>38</v>
      </c>
      <c r="C156" s="6" t="n">
        <v>46215</v>
      </c>
      <c r="D156" s="5" t="s">
        <v>44</v>
      </c>
      <c r="E156" s="7" t="n">
        <v>930</v>
      </c>
    </row>
    <row r="157" customFormat="false" ht="15" hidden="false" customHeight="false" outlineLevel="0" collapsed="false">
      <c r="A157" s="5" t="s">
        <v>200</v>
      </c>
      <c r="B157" s="5" t="s">
        <v>32</v>
      </c>
      <c r="C157" s="6" t="n">
        <v>46192</v>
      </c>
      <c r="D157" s="5" t="s">
        <v>39</v>
      </c>
      <c r="E157" s="7" t="n">
        <v>870</v>
      </c>
    </row>
    <row r="158" customFormat="false" ht="15" hidden="false" customHeight="false" outlineLevel="0" collapsed="false">
      <c r="A158" s="5" t="s">
        <v>201</v>
      </c>
      <c r="B158" s="5" t="s">
        <v>38</v>
      </c>
      <c r="C158" s="6" t="n">
        <v>46232</v>
      </c>
      <c r="D158" s="5" t="s">
        <v>44</v>
      </c>
      <c r="E158" s="7" t="n">
        <v>240</v>
      </c>
    </row>
    <row r="159" customFormat="false" ht="15" hidden="false" customHeight="false" outlineLevel="0" collapsed="false">
      <c r="A159" s="5" t="s">
        <v>202</v>
      </c>
      <c r="B159" s="5" t="s">
        <v>49</v>
      </c>
      <c r="C159" s="6" t="n">
        <v>46163</v>
      </c>
      <c r="D159" s="5" t="s">
        <v>36</v>
      </c>
      <c r="E159" s="7" t="n">
        <v>780</v>
      </c>
    </row>
    <row r="160" customFormat="false" ht="15" hidden="false" customHeight="false" outlineLevel="0" collapsed="false">
      <c r="A160" s="5" t="s">
        <v>203</v>
      </c>
      <c r="B160" s="5" t="s">
        <v>58</v>
      </c>
      <c r="C160" s="6" t="n">
        <v>46181</v>
      </c>
      <c r="D160" s="5" t="s">
        <v>39</v>
      </c>
      <c r="E160" s="7" t="n">
        <v>1240</v>
      </c>
    </row>
    <row r="161" customFormat="false" ht="15" hidden="false" customHeight="false" outlineLevel="0" collapsed="false">
      <c r="A161" s="5" t="s">
        <v>204</v>
      </c>
      <c r="B161" s="5" t="s">
        <v>46</v>
      </c>
      <c r="C161" s="6" t="n">
        <v>46134</v>
      </c>
      <c r="D161" s="5" t="s">
        <v>54</v>
      </c>
      <c r="E161" s="7" t="n">
        <v>190</v>
      </c>
    </row>
    <row r="162" customFormat="false" ht="15" hidden="false" customHeight="false" outlineLevel="0" collapsed="false">
      <c r="A162" s="5" t="s">
        <v>205</v>
      </c>
      <c r="B162" s="5" t="s">
        <v>58</v>
      </c>
      <c r="C162" s="6" t="n">
        <v>46222</v>
      </c>
      <c r="D162" s="5" t="s">
        <v>44</v>
      </c>
      <c r="E162" s="7" t="n">
        <v>590</v>
      </c>
    </row>
    <row r="163" customFormat="false" ht="15" hidden="false" customHeight="false" outlineLevel="0" collapsed="false">
      <c r="A163" s="5" t="s">
        <v>206</v>
      </c>
      <c r="B163" s="5" t="s">
        <v>65</v>
      </c>
      <c r="C163" s="6" t="n">
        <v>46258</v>
      </c>
      <c r="D163" s="5" t="s">
        <v>47</v>
      </c>
      <c r="E163" s="7" t="n">
        <v>790</v>
      </c>
    </row>
    <row r="164" customFormat="false" ht="15" hidden="false" customHeight="false" outlineLevel="0" collapsed="false">
      <c r="A164" s="5" t="s">
        <v>207</v>
      </c>
      <c r="B164" s="5" t="s">
        <v>46</v>
      </c>
      <c r="C164" s="6" t="n">
        <v>46271</v>
      </c>
      <c r="D164" s="5" t="s">
        <v>33</v>
      </c>
      <c r="E164" s="7" t="n">
        <v>240</v>
      </c>
    </row>
    <row r="165" customFormat="false" ht="15" hidden="false" customHeight="false" outlineLevel="0" collapsed="false">
      <c r="A165" s="5" t="s">
        <v>208</v>
      </c>
      <c r="B165" s="5" t="s">
        <v>65</v>
      </c>
      <c r="C165" s="6" t="n">
        <v>46284</v>
      </c>
      <c r="D165" s="5" t="s">
        <v>33</v>
      </c>
      <c r="E165" s="7" t="n">
        <v>450</v>
      </c>
    </row>
    <row r="166" customFormat="false" ht="15" hidden="false" customHeight="false" outlineLevel="0" collapsed="false">
      <c r="A166" s="5" t="s">
        <v>209</v>
      </c>
      <c r="B166" s="5" t="s">
        <v>49</v>
      </c>
      <c r="C166" s="6" t="n">
        <v>46237</v>
      </c>
      <c r="D166" s="5" t="s">
        <v>47</v>
      </c>
      <c r="E166" s="7" t="n">
        <v>740</v>
      </c>
    </row>
    <row r="167" customFormat="false" ht="15" hidden="false" customHeight="false" outlineLevel="0" collapsed="false">
      <c r="A167" s="5" t="s">
        <v>210</v>
      </c>
      <c r="B167" s="5" t="s">
        <v>65</v>
      </c>
      <c r="C167" s="6" t="n">
        <v>46122</v>
      </c>
      <c r="D167" s="5" t="s">
        <v>54</v>
      </c>
      <c r="E167" s="7" t="n">
        <v>1320</v>
      </c>
    </row>
    <row r="168" customFormat="false" ht="15" hidden="false" customHeight="false" outlineLevel="0" collapsed="false">
      <c r="A168" s="5" t="s">
        <v>211</v>
      </c>
      <c r="B168" s="5" t="s">
        <v>32</v>
      </c>
      <c r="C168" s="6" t="n">
        <v>46261</v>
      </c>
      <c r="D168" s="5" t="s">
        <v>47</v>
      </c>
      <c r="E168" s="7" t="n">
        <v>1080</v>
      </c>
    </row>
    <row r="169" customFormat="false" ht="15" hidden="false" customHeight="false" outlineLevel="0" collapsed="false">
      <c r="A169" s="5" t="s">
        <v>212</v>
      </c>
      <c r="B169" s="5" t="s">
        <v>49</v>
      </c>
      <c r="C169" s="6" t="n">
        <v>46172</v>
      </c>
      <c r="D169" s="5" t="s">
        <v>36</v>
      </c>
      <c r="E169" s="7" t="n">
        <v>640</v>
      </c>
    </row>
    <row r="170" customFormat="false" ht="15" hidden="false" customHeight="false" outlineLevel="0" collapsed="false">
      <c r="A170" s="5" t="s">
        <v>213</v>
      </c>
      <c r="B170" s="5" t="s">
        <v>49</v>
      </c>
      <c r="C170" s="6" t="n">
        <v>46235</v>
      </c>
      <c r="D170" s="5" t="s">
        <v>47</v>
      </c>
      <c r="E170" s="7" t="n">
        <v>1280</v>
      </c>
    </row>
    <row r="171" customFormat="false" ht="15" hidden="false" customHeight="false" outlineLevel="0" collapsed="false">
      <c r="A171" s="5" t="s">
        <v>214</v>
      </c>
      <c r="B171" s="5" t="s">
        <v>41</v>
      </c>
      <c r="C171" s="6" t="n">
        <v>46284</v>
      </c>
      <c r="D171" s="5" t="s">
        <v>33</v>
      </c>
      <c r="E171" s="7" t="n">
        <v>180</v>
      </c>
    </row>
    <row r="172" customFormat="false" ht="15" hidden="false" customHeight="false" outlineLevel="0" collapsed="false">
      <c r="A172" s="5" t="s">
        <v>215</v>
      </c>
      <c r="B172" s="5" t="s">
        <v>65</v>
      </c>
      <c r="C172" s="6" t="n">
        <v>46154</v>
      </c>
      <c r="D172" s="5" t="s">
        <v>36</v>
      </c>
      <c r="E172" s="7" t="n">
        <v>1360</v>
      </c>
    </row>
    <row r="173" customFormat="false" ht="15" hidden="false" customHeight="false" outlineLevel="0" collapsed="false">
      <c r="A173" s="5" t="s">
        <v>216</v>
      </c>
      <c r="B173" s="5" t="s">
        <v>58</v>
      </c>
      <c r="C173" s="6" t="n">
        <v>46185</v>
      </c>
      <c r="D173" s="5" t="s">
        <v>39</v>
      </c>
      <c r="E173" s="7" t="n">
        <v>410</v>
      </c>
    </row>
    <row r="174" customFormat="false" ht="15" hidden="false" customHeight="false" outlineLevel="0" collapsed="false">
      <c r="A174" s="5" t="s">
        <v>217</v>
      </c>
      <c r="B174" s="5" t="s">
        <v>46</v>
      </c>
      <c r="C174" s="6" t="n">
        <v>46158</v>
      </c>
      <c r="D174" s="5" t="s">
        <v>36</v>
      </c>
      <c r="E174" s="7" t="n">
        <v>630</v>
      </c>
    </row>
    <row r="175" customFormat="false" ht="15" hidden="false" customHeight="false" outlineLevel="0" collapsed="false">
      <c r="A175" s="5" t="s">
        <v>218</v>
      </c>
      <c r="B175" s="5" t="s">
        <v>35</v>
      </c>
      <c r="C175" s="6" t="n">
        <v>46233</v>
      </c>
      <c r="D175" s="5" t="s">
        <v>44</v>
      </c>
      <c r="E175" s="7" t="n">
        <v>740</v>
      </c>
    </row>
    <row r="176" customFormat="false" ht="15" hidden="false" customHeight="false" outlineLevel="0" collapsed="false">
      <c r="A176" s="5" t="s">
        <v>219</v>
      </c>
      <c r="B176" s="5" t="s">
        <v>38</v>
      </c>
      <c r="C176" s="6" t="n">
        <v>46290</v>
      </c>
      <c r="D176" s="5" t="s">
        <v>33</v>
      </c>
      <c r="E176" s="7" t="n">
        <v>1010</v>
      </c>
    </row>
    <row r="177" customFormat="false" ht="15" hidden="false" customHeight="false" outlineLevel="0" collapsed="false">
      <c r="A177" s="5" t="s">
        <v>220</v>
      </c>
      <c r="B177" s="5" t="s">
        <v>32</v>
      </c>
      <c r="C177" s="6" t="n">
        <v>46278</v>
      </c>
      <c r="D177" s="5" t="s">
        <v>33</v>
      </c>
      <c r="E177" s="7" t="n">
        <v>750</v>
      </c>
    </row>
    <row r="178" customFormat="false" ht="15" hidden="false" customHeight="false" outlineLevel="0" collapsed="false">
      <c r="A178" s="5" t="s">
        <v>221</v>
      </c>
      <c r="B178" s="5" t="s">
        <v>49</v>
      </c>
      <c r="C178" s="6" t="n">
        <v>46263</v>
      </c>
      <c r="D178" s="5" t="s">
        <v>47</v>
      </c>
      <c r="E178" s="7" t="n">
        <v>1140</v>
      </c>
    </row>
    <row r="179" customFormat="false" ht="15" hidden="false" customHeight="false" outlineLevel="0" collapsed="false">
      <c r="A179" s="5" t="s">
        <v>222</v>
      </c>
      <c r="B179" s="5" t="s">
        <v>32</v>
      </c>
      <c r="C179" s="6" t="n">
        <v>46177</v>
      </c>
      <c r="D179" s="5" t="s">
        <v>39</v>
      </c>
      <c r="E179" s="7" t="n">
        <v>640</v>
      </c>
    </row>
    <row r="180" customFormat="false" ht="15" hidden="false" customHeight="false" outlineLevel="0" collapsed="false">
      <c r="A180" s="5" t="s">
        <v>223</v>
      </c>
      <c r="B180" s="5" t="s">
        <v>49</v>
      </c>
      <c r="C180" s="6" t="n">
        <v>46168</v>
      </c>
      <c r="D180" s="5" t="s">
        <v>36</v>
      </c>
      <c r="E180" s="7" t="n">
        <v>360</v>
      </c>
    </row>
    <row r="181" customFormat="false" ht="15" hidden="false" customHeight="false" outlineLevel="0" collapsed="false">
      <c r="A181" s="5" t="s">
        <v>224</v>
      </c>
      <c r="B181" s="5" t="s">
        <v>49</v>
      </c>
      <c r="C181" s="6" t="n">
        <v>46222</v>
      </c>
      <c r="D181" s="5" t="s">
        <v>44</v>
      </c>
      <c r="E181" s="7" t="n">
        <v>1230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7"/>
  </cols>
  <sheetData>
    <row r="1" customFormat="false" ht="15" hidden="false" customHeight="false" outlineLevel="0" collapsed="false">
      <c r="A1" s="3" t="s">
        <v>27</v>
      </c>
      <c r="B1" s="3" t="s">
        <v>225</v>
      </c>
    </row>
    <row r="2" customFormat="false" ht="15" hidden="false" customHeight="false" outlineLevel="0" collapsed="false">
      <c r="A2" s="5" t="s">
        <v>65</v>
      </c>
      <c r="B2" s="7" t="n">
        <f aca="false">SUMIFS(Data!$E$2:$E$181,Data!$B$2:$B$181,A2)</f>
        <v>17970</v>
      </c>
    </row>
    <row r="3" customFormat="false" ht="15" hidden="false" customHeight="false" outlineLevel="0" collapsed="false">
      <c r="A3" s="5" t="s">
        <v>38</v>
      </c>
      <c r="B3" s="7" t="n">
        <f aca="false">SUMIFS(Data!$E$2:$E$181,Data!$B$2:$B$181,A3)</f>
        <v>19290</v>
      </c>
    </row>
    <row r="4" customFormat="false" ht="15" hidden="false" customHeight="false" outlineLevel="0" collapsed="false">
      <c r="A4" s="5" t="s">
        <v>41</v>
      </c>
      <c r="B4" s="7" t="n">
        <f aca="false">SUMIFS(Data!$E$2:$E$181,Data!$B$2:$B$181,A4)</f>
        <v>19280</v>
      </c>
    </row>
    <row r="5" customFormat="false" ht="15" hidden="false" customHeight="false" outlineLevel="0" collapsed="false">
      <c r="A5" s="5" t="s">
        <v>35</v>
      </c>
      <c r="B5" s="7" t="n">
        <f aca="false">SUMIFS(Data!$E$2:$E$181,Data!$B$2:$B$181,A5)</f>
        <v>17460</v>
      </c>
    </row>
    <row r="6" customFormat="false" ht="15" hidden="false" customHeight="false" outlineLevel="0" collapsed="false">
      <c r="A6" s="5" t="s">
        <v>32</v>
      </c>
      <c r="B6" s="7" t="n">
        <f aca="false">SUMIFS(Data!$E$2:$E$181,Data!$B$2:$B$181,A6)</f>
        <v>12490</v>
      </c>
    </row>
    <row r="7" customFormat="false" ht="15" hidden="false" customHeight="false" outlineLevel="0" collapsed="false">
      <c r="A7" s="5" t="s">
        <v>46</v>
      </c>
      <c r="B7" s="7" t="n">
        <f aca="false">SUMIFS(Data!$E$2:$E$181,Data!$B$2:$B$181,A7)</f>
        <v>15300</v>
      </c>
    </row>
    <row r="8" customFormat="false" ht="15" hidden="false" customHeight="false" outlineLevel="0" collapsed="false">
      <c r="A8" s="5" t="s">
        <v>58</v>
      </c>
      <c r="B8" s="7" t="n">
        <f aca="false">SUMIFS(Data!$E$2:$E$181,Data!$B$2:$B$181,A8)</f>
        <v>20790</v>
      </c>
    </row>
    <row r="9" customFormat="false" ht="15" hidden="false" customHeight="false" outlineLevel="0" collapsed="false">
      <c r="A9" s="5" t="s">
        <v>49</v>
      </c>
      <c r="B9" s="7" t="n">
        <f aca="false">SUMIFS(Data!$E$2:$E$181,Data!$B$2:$B$181,A9)</f>
        <v>22290</v>
      </c>
    </row>
    <row r="10" customFormat="false" ht="15" hidden="false" customHeight="false" outlineLevel="0" collapsed="false">
      <c r="A10" s="8" t="s">
        <v>226</v>
      </c>
      <c r="B10" s="9" t="n">
        <f aca="false">SUM(B2:B9)</f>
        <v>144870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7"/>
  </cols>
  <sheetData>
    <row r="1" customFormat="false" ht="15" hidden="false" customHeight="false" outlineLevel="0" collapsed="false">
      <c r="A1" s="3" t="s">
        <v>27</v>
      </c>
      <c r="B1" s="3" t="s">
        <v>225</v>
      </c>
    </row>
    <row r="2" customFormat="false" ht="15" hidden="false" customHeight="false" outlineLevel="0" collapsed="false">
      <c r="A2" s="5" t="s">
        <v>65</v>
      </c>
      <c r="B2" s="7" t="n">
        <f aca="false">T1_Summary!B2</f>
        <v>17970</v>
      </c>
    </row>
    <row r="3" customFormat="false" ht="15" hidden="false" customHeight="false" outlineLevel="0" collapsed="false">
      <c r="A3" s="5" t="s">
        <v>38</v>
      </c>
      <c r="B3" s="7" t="n">
        <f aca="false">T1_Summary!B3</f>
        <v>19290</v>
      </c>
    </row>
    <row r="4" customFormat="false" ht="15" hidden="false" customHeight="false" outlineLevel="0" collapsed="false">
      <c r="A4" s="5" t="s">
        <v>41</v>
      </c>
      <c r="B4" s="7" t="n">
        <f aca="false">T1_Summary!B4</f>
        <v>19280</v>
      </c>
    </row>
    <row r="5" customFormat="false" ht="15" hidden="false" customHeight="false" outlineLevel="0" collapsed="false">
      <c r="A5" s="5" t="s">
        <v>35</v>
      </c>
      <c r="B5" s="7" t="n">
        <f aca="false">T1_Summary!B5</f>
        <v>17460</v>
      </c>
    </row>
    <row r="6" customFormat="false" ht="15" hidden="false" customHeight="false" outlineLevel="0" collapsed="false">
      <c r="A6" s="5" t="s">
        <v>32</v>
      </c>
      <c r="B6" s="7" t="n">
        <f aca="false">T1_Summary!B6</f>
        <v>12490</v>
      </c>
    </row>
    <row r="7" customFormat="false" ht="15" hidden="false" customHeight="false" outlineLevel="0" collapsed="false">
      <c r="A7" s="5" t="s">
        <v>46</v>
      </c>
      <c r="B7" s="7" t="n">
        <f aca="false">T1_Summary!B7</f>
        <v>15300</v>
      </c>
    </row>
    <row r="8" customFormat="false" ht="15" hidden="false" customHeight="false" outlineLevel="0" collapsed="false">
      <c r="A8" s="5" t="s">
        <v>58</v>
      </c>
      <c r="B8" s="7" t="n">
        <f aca="false">T1_Summary!B8</f>
        <v>20790</v>
      </c>
    </row>
    <row r="9" customFormat="false" ht="15" hidden="false" customHeight="false" outlineLevel="0" collapsed="false">
      <c r="A9" s="5" t="s">
        <v>49</v>
      </c>
      <c r="B9" s="7" t="n">
        <f aca="false">T1_Summary!B9</f>
        <v>22290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7"/>
  </cols>
  <sheetData>
    <row r="1" customFormat="false" ht="15" hidden="false" customHeight="false" outlineLevel="0" collapsed="false">
      <c r="A1" s="8" t="s">
        <v>227</v>
      </c>
      <c r="B1" s="10" t="s">
        <v>228</v>
      </c>
      <c r="C1" s="11" t="s">
        <v>229</v>
      </c>
      <c r="D1" s="11" t="str">
        <f aca="false">IF(B1="All Months","*",B1)</f>
        <v>*</v>
      </c>
    </row>
    <row r="3" customFormat="false" ht="15" hidden="false" customHeight="false" outlineLevel="0" collapsed="false">
      <c r="A3" s="3" t="s">
        <v>27</v>
      </c>
      <c r="B3" s="3" t="s">
        <v>230</v>
      </c>
    </row>
    <row r="4" customFormat="false" ht="15" hidden="false" customHeight="false" outlineLevel="0" collapsed="false">
      <c r="A4" s="5" t="s">
        <v>65</v>
      </c>
      <c r="B4" s="7" t="n">
        <f aca="false">SUMIFS(Data!$E$2:$E$181,Data!$B$2:$B$181,A4,Data!$D$2:$D$181,$D$1)</f>
        <v>17970</v>
      </c>
    </row>
    <row r="5" customFormat="false" ht="15" hidden="false" customHeight="false" outlineLevel="0" collapsed="false">
      <c r="A5" s="5" t="s">
        <v>38</v>
      </c>
      <c r="B5" s="7" t="n">
        <f aca="false">SUMIFS(Data!$E$2:$E$181,Data!$B$2:$B$181,A5,Data!$D$2:$D$181,$D$1)</f>
        <v>19290</v>
      </c>
    </row>
    <row r="6" customFormat="false" ht="15" hidden="false" customHeight="false" outlineLevel="0" collapsed="false">
      <c r="A6" s="5" t="s">
        <v>41</v>
      </c>
      <c r="B6" s="7" t="n">
        <f aca="false">SUMIFS(Data!$E$2:$E$181,Data!$B$2:$B$181,A6,Data!$D$2:$D$181,$D$1)</f>
        <v>19280</v>
      </c>
    </row>
    <row r="7" customFormat="false" ht="15" hidden="false" customHeight="false" outlineLevel="0" collapsed="false">
      <c r="A7" s="5" t="s">
        <v>35</v>
      </c>
      <c r="B7" s="7" t="n">
        <f aca="false">SUMIFS(Data!$E$2:$E$181,Data!$B$2:$B$181,A7,Data!$D$2:$D$181,$D$1)</f>
        <v>17460</v>
      </c>
    </row>
    <row r="8" customFormat="false" ht="15" hidden="false" customHeight="false" outlineLevel="0" collapsed="false">
      <c r="A8" s="5" t="s">
        <v>32</v>
      </c>
      <c r="B8" s="7" t="n">
        <f aca="false">SUMIFS(Data!$E$2:$E$181,Data!$B$2:$B$181,A8,Data!$D$2:$D$181,$D$1)</f>
        <v>12490</v>
      </c>
    </row>
    <row r="9" customFormat="false" ht="15" hidden="false" customHeight="false" outlineLevel="0" collapsed="false">
      <c r="A9" s="5" t="s">
        <v>46</v>
      </c>
      <c r="B9" s="7" t="n">
        <f aca="false">SUMIFS(Data!$E$2:$E$181,Data!$B$2:$B$181,A9,Data!$D$2:$D$181,$D$1)</f>
        <v>15300</v>
      </c>
    </row>
    <row r="10" customFormat="false" ht="15" hidden="false" customHeight="false" outlineLevel="0" collapsed="false">
      <c r="A10" s="5" t="s">
        <v>58</v>
      </c>
      <c r="B10" s="7" t="n">
        <f aca="false">SUMIFS(Data!$E$2:$E$181,Data!$B$2:$B$181,A10,Data!$D$2:$D$181,$D$1)</f>
        <v>20790</v>
      </c>
    </row>
    <row r="11" customFormat="false" ht="15" hidden="false" customHeight="false" outlineLevel="0" collapsed="false">
      <c r="A11" s="5" t="s">
        <v>49</v>
      </c>
      <c r="B11" s="7" t="n">
        <f aca="false">SUMIFS(Data!$E$2:$E$181,Data!$B$2:$B$181,A11,Data!$D$2:$D$181,$D$1)</f>
        <v>22290</v>
      </c>
    </row>
  </sheetData>
  <dataValidations count="1">
    <dataValidation allowBlank="false" errorStyle="stop" operator="between" showDropDown="false" showErrorMessage="false" showInputMessage="false" sqref="B1" type="list">
      <formula1>"All Months,Apr 2026,May 2026,Jun 2026,Jul 2026,Aug 2026,Sep 2026"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7"/>
  </cols>
  <sheetData>
    <row r="1" customFormat="false" ht="15" hidden="false" customHeight="false" outlineLevel="0" collapsed="false">
      <c r="A1" s="3" t="s">
        <v>27</v>
      </c>
      <c r="B1" s="3" t="s">
        <v>225</v>
      </c>
    </row>
    <row r="2" customFormat="false" ht="15" hidden="false" customHeight="false" outlineLevel="0" collapsed="false">
      <c r="A2" s="5" t="s">
        <v>65</v>
      </c>
      <c r="B2" s="7" t="n">
        <f aca="false">T1_Summary!B2</f>
        <v>17970</v>
      </c>
    </row>
    <row r="3" customFormat="false" ht="15" hidden="false" customHeight="false" outlineLevel="0" collapsed="false">
      <c r="A3" s="5" t="s">
        <v>38</v>
      </c>
      <c r="B3" s="7" t="n">
        <f aca="false">T1_Summary!B3</f>
        <v>19290</v>
      </c>
    </row>
    <row r="4" customFormat="false" ht="15" hidden="false" customHeight="false" outlineLevel="0" collapsed="false">
      <c r="A4" s="5" t="s">
        <v>41</v>
      </c>
      <c r="B4" s="7" t="n">
        <f aca="false">T1_Summary!B4</f>
        <v>19280</v>
      </c>
    </row>
    <row r="5" customFormat="false" ht="15" hidden="false" customHeight="false" outlineLevel="0" collapsed="false">
      <c r="A5" s="5" t="s">
        <v>35</v>
      </c>
      <c r="B5" s="7" t="n">
        <f aca="false">T1_Summary!B5</f>
        <v>17460</v>
      </c>
    </row>
    <row r="6" customFormat="false" ht="15" hidden="false" customHeight="false" outlineLevel="0" collapsed="false">
      <c r="A6" s="5" t="s">
        <v>32</v>
      </c>
      <c r="B6" s="7" t="n">
        <f aca="false">T1_Summary!B6</f>
        <v>12490</v>
      </c>
    </row>
    <row r="7" customFormat="false" ht="15" hidden="false" customHeight="false" outlineLevel="0" collapsed="false">
      <c r="A7" s="5" t="s">
        <v>46</v>
      </c>
      <c r="B7" s="7" t="n">
        <f aca="false">T1_Summary!B7</f>
        <v>15300</v>
      </c>
    </row>
    <row r="8" customFormat="false" ht="15" hidden="false" customHeight="false" outlineLevel="0" collapsed="false">
      <c r="A8" s="5" t="s">
        <v>58</v>
      </c>
      <c r="B8" s="7" t="n">
        <f aca="false">T1_Summary!B8</f>
        <v>20790</v>
      </c>
    </row>
    <row r="9" customFormat="false" ht="15" hidden="false" customHeight="false" outlineLevel="0" collapsed="false">
      <c r="A9" s="5" t="s">
        <v>49</v>
      </c>
      <c r="B9" s="7" t="n">
        <f aca="false">T1_Summary!B9</f>
        <v>22290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3"/>
  </cols>
  <sheetData>
    <row r="1" customFormat="false" ht="15" hidden="false" customHeight="false" outlineLevel="0" collapsed="false">
      <c r="B1" s="12" t="s">
        <v>231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customFormat="false" ht="15" hidden="false" customHeight="false" outlineLevel="0" collapsed="false"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customFormat="false" ht="15" hidden="false" customHeight="false" outlineLevel="0" collapsed="false">
      <c r="B3" s="8" t="s">
        <v>232</v>
      </c>
      <c r="C3" s="10" t="s">
        <v>228</v>
      </c>
      <c r="D3" s="13" t="str">
        <f aca="false">IF(C3="All Months","*",C3)</f>
        <v>*</v>
      </c>
    </row>
    <row r="4" customFormat="false" ht="15" hidden="false" customHeight="false" outlineLevel="0" collapsed="false">
      <c r="B4" s="14" t="s">
        <v>233</v>
      </c>
      <c r="C4" s="14"/>
      <c r="D4" s="14"/>
      <c r="E4" s="15" t="s">
        <v>234</v>
      </c>
      <c r="F4" s="15"/>
      <c r="G4" s="15"/>
      <c r="H4" s="16" t="s">
        <v>235</v>
      </c>
      <c r="I4" s="16"/>
      <c r="J4" s="16"/>
      <c r="K4" s="17" t="s">
        <v>236</v>
      </c>
      <c r="L4" s="17"/>
      <c r="M4" s="17"/>
    </row>
    <row r="5" customFormat="false" ht="25.5" hidden="false" customHeight="true" outlineLevel="0" collapsed="false">
      <c r="B5" s="18" t="n">
        <f aca="false">SUMIFS(Data!$E$2:$E$181,Data!$D$2:$D$181,$D$3)</f>
        <v>144870</v>
      </c>
      <c r="C5" s="18"/>
      <c r="D5" s="18"/>
      <c r="E5" s="19" t="n">
        <f aca="false">COUNTIFS(Data!$D$2:$D$181,$D$3)</f>
        <v>180</v>
      </c>
      <c r="F5" s="19"/>
      <c r="G5" s="19"/>
      <c r="H5" s="20" t="n">
        <f aca="false">IF(E5=0,0,B5/E5)</f>
        <v>804.833333333333</v>
      </c>
      <c r="I5" s="20"/>
      <c r="J5" s="20"/>
      <c r="K5" s="21" t="str">
        <f aca="false">INDEX(A36:A43,MATCH(MAX(B36:B43),B36:B43,0))</f>
        <v>KFC</v>
      </c>
      <c r="L5" s="21"/>
      <c r="M5" s="21"/>
    </row>
    <row r="6" customFormat="false" ht="3.75" hidden="false" customHeight="true" outlineLevel="0" collapsed="false"/>
    <row r="26" customFormat="false" ht="15" hidden="false" customHeight="false" outlineLevel="0" collapsed="false">
      <c r="B26" s="22" t="s">
        <v>237</v>
      </c>
    </row>
    <row r="27" customFormat="false" ht="15" hidden="false" customHeight="false" outlineLevel="0" collapsed="false">
      <c r="B27" s="3" t="s">
        <v>27</v>
      </c>
      <c r="C27" s="3" t="s">
        <v>54</v>
      </c>
      <c r="D27" s="3" t="s">
        <v>36</v>
      </c>
      <c r="E27" s="3" t="s">
        <v>39</v>
      </c>
      <c r="F27" s="3" t="s">
        <v>44</v>
      </c>
      <c r="G27" s="3" t="s">
        <v>47</v>
      </c>
      <c r="H27" s="3" t="s">
        <v>33</v>
      </c>
    </row>
    <row r="28" customFormat="false" ht="15" hidden="false" customHeight="false" outlineLevel="0" collapsed="false">
      <c r="B28" s="5" t="str">
        <f aca="false">INDEX(T1_Summary!$A$2:$A$9,MATCH(LARGE(T1_Summary!$B$2:$B$9,1),T1_Summary!$B$2:$B$9,0))</f>
        <v>KFC</v>
      </c>
      <c r="C28" s="7" t="n">
        <f aca="false">SUMIFS(Data!$E$2:$E$181,Data!$B$2:$B$181,$B28,Data!$D$2:$D$181,C$27)</f>
        <v>3800</v>
      </c>
      <c r="D28" s="7" t="n">
        <f aca="false">SUMIFS(Data!$E$2:$E$181,Data!$B$2:$B$181,$B28,Data!$D$2:$D$181,D$27)</f>
        <v>4980</v>
      </c>
      <c r="E28" s="7" t="n">
        <f aca="false">SUMIFS(Data!$E$2:$E$181,Data!$B$2:$B$181,$B28,Data!$D$2:$D$181,E$27)</f>
        <v>2310</v>
      </c>
      <c r="F28" s="7" t="n">
        <f aca="false">SUMIFS(Data!$E$2:$E$181,Data!$B$2:$B$181,$B28,Data!$D$2:$D$181,F$27)</f>
        <v>2510</v>
      </c>
      <c r="G28" s="7" t="n">
        <f aca="false">SUMIFS(Data!$E$2:$E$181,Data!$B$2:$B$181,$B28,Data!$D$2:$D$181,G$27)</f>
        <v>6340</v>
      </c>
      <c r="H28" s="7" t="n">
        <f aca="false">SUMIFS(Data!$E$2:$E$181,Data!$B$2:$B$181,$B28,Data!$D$2:$D$181,H$27)</f>
        <v>2350</v>
      </c>
    </row>
    <row r="29" customFormat="false" ht="15" hidden="false" customHeight="false" outlineLevel="0" collapsed="false">
      <c r="B29" s="5" t="str">
        <f aca="false">INDEX(T1_Summary!$A$2:$A$9,MATCH(LARGE(T1_Summary!$B$2:$B$9,2),T1_Summary!$B$2:$B$9,0))</f>
        <v>Wok Express</v>
      </c>
      <c r="C29" s="7" t="n">
        <f aca="false">SUMIFS(Data!$E$2:$E$181,Data!$B$2:$B$181,$B29,Data!$D$2:$D$181,C$27)</f>
        <v>2420</v>
      </c>
      <c r="D29" s="7" t="n">
        <f aca="false">SUMIFS(Data!$E$2:$E$181,Data!$B$2:$B$181,$B29,Data!$D$2:$D$181,D$27)</f>
        <v>3050</v>
      </c>
      <c r="E29" s="7" t="n">
        <f aca="false">SUMIFS(Data!$E$2:$E$181,Data!$B$2:$B$181,$B29,Data!$D$2:$D$181,E$27)</f>
        <v>6850</v>
      </c>
      <c r="F29" s="7" t="n">
        <f aca="false">SUMIFS(Data!$E$2:$E$181,Data!$B$2:$B$181,$B29,Data!$D$2:$D$181,F$27)</f>
        <v>4870</v>
      </c>
      <c r="G29" s="7" t="n">
        <f aca="false">SUMIFS(Data!$E$2:$E$181,Data!$B$2:$B$181,$B29,Data!$D$2:$D$181,G$27)</f>
        <v>2390</v>
      </c>
      <c r="H29" s="7" t="n">
        <f aca="false">SUMIFS(Data!$E$2:$E$181,Data!$B$2:$B$181,$B29,Data!$D$2:$D$181,H$27)</f>
        <v>1210</v>
      </c>
    </row>
    <row r="30" customFormat="false" ht="15" hidden="false" customHeight="false" outlineLevel="0" collapsed="false">
      <c r="B30" s="5" t="str">
        <f aca="false">INDEX(T1_Summary!$A$2:$A$9,MATCH(LARGE(T1_Summary!$B$2:$B$9,3),T1_Summary!$B$2:$B$9,0))</f>
        <v>Domino's</v>
      </c>
      <c r="C30" s="7" t="n">
        <f aca="false">SUMIFS(Data!$E$2:$E$181,Data!$B$2:$B$181,$B30,Data!$D$2:$D$181,C$27)</f>
        <v>2740</v>
      </c>
      <c r="D30" s="7" t="n">
        <f aca="false">SUMIFS(Data!$E$2:$E$181,Data!$B$2:$B$181,$B30,Data!$D$2:$D$181,D$27)</f>
        <v>3510</v>
      </c>
      <c r="E30" s="7" t="n">
        <f aca="false">SUMIFS(Data!$E$2:$E$181,Data!$B$2:$B$181,$B30,Data!$D$2:$D$181,E$27)</f>
        <v>1520</v>
      </c>
      <c r="F30" s="7" t="n">
        <f aca="false">SUMIFS(Data!$E$2:$E$181,Data!$B$2:$B$181,$B30,Data!$D$2:$D$181,F$27)</f>
        <v>4630</v>
      </c>
      <c r="G30" s="7" t="n">
        <f aca="false">SUMIFS(Data!$E$2:$E$181,Data!$B$2:$B$181,$B30,Data!$D$2:$D$181,G$27)</f>
        <v>5880</v>
      </c>
      <c r="H30" s="7" t="n">
        <f aca="false">SUMIFS(Data!$E$2:$E$181,Data!$B$2:$B$181,$B30,Data!$D$2:$D$181,H$27)</f>
        <v>1010</v>
      </c>
    </row>
    <row r="34" customFormat="false" ht="15" hidden="false" customHeight="false" outlineLevel="0" collapsed="false">
      <c r="B34" s="22" t="s">
        <v>238</v>
      </c>
    </row>
    <row r="35" customFormat="false" ht="113.4" hidden="false" customHeight="false" outlineLevel="0" collapsed="false">
      <c r="A35" s="3" t="s">
        <v>27</v>
      </c>
      <c r="B35" s="3" t="s">
        <v>239</v>
      </c>
    </row>
    <row r="36" customFormat="false" ht="15" hidden="false" customHeight="false" outlineLevel="0" collapsed="false">
      <c r="A36" s="11" t="s">
        <v>65</v>
      </c>
      <c r="B36" s="9" t="n">
        <f aca="false">SUMIFS(Data!$E$2:$E$181,Data!$B$2:$B$181,A36,Data!$D$2:$D$181,$D$3)</f>
        <v>17970</v>
      </c>
    </row>
    <row r="37" customFormat="false" ht="15" hidden="false" customHeight="false" outlineLevel="0" collapsed="false">
      <c r="A37" s="11" t="s">
        <v>38</v>
      </c>
      <c r="B37" s="9" t="n">
        <f aca="false">SUMIFS(Data!$E$2:$E$181,Data!$B$2:$B$181,A37,Data!$D$2:$D$181,$D$3)</f>
        <v>19290</v>
      </c>
    </row>
    <row r="38" customFormat="false" ht="15" hidden="false" customHeight="false" outlineLevel="0" collapsed="false">
      <c r="A38" s="11" t="s">
        <v>41</v>
      </c>
      <c r="B38" s="9" t="n">
        <f aca="false">SUMIFS(Data!$E$2:$E$181,Data!$B$2:$B$181,A38,Data!$D$2:$D$181,$D$3)</f>
        <v>19280</v>
      </c>
    </row>
    <row r="39" customFormat="false" ht="15" hidden="false" customHeight="false" outlineLevel="0" collapsed="false">
      <c r="A39" s="11" t="s">
        <v>35</v>
      </c>
      <c r="B39" s="9" t="n">
        <f aca="false">SUMIFS(Data!$E$2:$E$181,Data!$B$2:$B$181,A39,Data!$D$2:$D$181,$D$3)</f>
        <v>17460</v>
      </c>
    </row>
    <row r="40" customFormat="false" ht="15" hidden="false" customHeight="false" outlineLevel="0" collapsed="false">
      <c r="A40" s="11" t="s">
        <v>32</v>
      </c>
      <c r="B40" s="9" t="n">
        <f aca="false">SUMIFS(Data!$E$2:$E$181,Data!$B$2:$B$181,A40,Data!$D$2:$D$181,$D$3)</f>
        <v>12490</v>
      </c>
    </row>
    <row r="41" customFormat="false" ht="15" hidden="false" customHeight="false" outlineLevel="0" collapsed="false">
      <c r="A41" s="11" t="s">
        <v>46</v>
      </c>
      <c r="B41" s="9" t="n">
        <f aca="false">SUMIFS(Data!$E$2:$E$181,Data!$B$2:$B$181,A41,Data!$D$2:$D$181,$D$3)</f>
        <v>15300</v>
      </c>
    </row>
    <row r="42" customFormat="false" ht="15" hidden="false" customHeight="false" outlineLevel="0" collapsed="false">
      <c r="A42" s="11" t="s">
        <v>58</v>
      </c>
      <c r="B42" s="9" t="n">
        <f aca="false">SUMIFS(Data!$E$2:$E$181,Data!$B$2:$B$181,A42,Data!$D$2:$D$181,$D$3)</f>
        <v>20790</v>
      </c>
    </row>
    <row r="43" customFormat="false" ht="15" hidden="false" customHeight="false" outlineLevel="0" collapsed="false">
      <c r="A43" s="11" t="s">
        <v>49</v>
      </c>
      <c r="B43" s="9" t="n">
        <f aca="false">SUMIFS(Data!$E$2:$E$181,Data!$B$2:$B$181,A43,Data!$D$2:$D$181,$D$3)</f>
        <v>22290</v>
      </c>
    </row>
  </sheetData>
  <mergeCells count="9">
    <mergeCell ref="B1:M2"/>
    <mergeCell ref="B4:D4"/>
    <mergeCell ref="E4:G4"/>
    <mergeCell ref="H4:J4"/>
    <mergeCell ref="K4:M4"/>
    <mergeCell ref="B5:D5"/>
    <mergeCell ref="E5:G5"/>
    <mergeCell ref="H5:J5"/>
    <mergeCell ref="K5:M5"/>
  </mergeCells>
  <dataValidations count="1">
    <dataValidation allowBlank="false" errorStyle="stop" operator="between" showDropDown="false" showErrorMessage="false" showInputMessage="false" sqref="C3" type="list">
      <formula1>"All Months,Apr 2026,May 2026,Jun 2026,Jul 2026,Aug 2026,Sep 2026"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A2" s="23" t="s">
        <v>240</v>
      </c>
    </row>
    <row r="4" customFormat="false" ht="12.8" hidden="false" customHeight="false" outlineLevel="0" collapsed="false">
      <c r="A4" s="24" t="s">
        <v>27</v>
      </c>
      <c r="B4" s="25" t="s">
        <v>241</v>
      </c>
    </row>
    <row r="5" customFormat="false" ht="12.8" hidden="false" customHeight="false" outlineLevel="0" collapsed="false">
      <c r="A5" s="26" t="s">
        <v>35</v>
      </c>
      <c r="B5" s="27" t="n">
        <v>17460</v>
      </c>
    </row>
    <row r="6" customFormat="false" ht="12.8" hidden="false" customHeight="false" outlineLevel="0" collapsed="false">
      <c r="A6" s="28" t="s">
        <v>65</v>
      </c>
      <c r="B6" s="29" t="n">
        <v>17970</v>
      </c>
    </row>
    <row r="7" customFormat="false" ht="12.8" hidden="false" customHeight="false" outlineLevel="0" collapsed="false">
      <c r="A7" s="28" t="s">
        <v>38</v>
      </c>
      <c r="B7" s="29" t="n">
        <v>19290</v>
      </c>
    </row>
    <row r="8" customFormat="false" ht="12.8" hidden="false" customHeight="false" outlineLevel="0" collapsed="false">
      <c r="A8" s="28" t="s">
        <v>46</v>
      </c>
      <c r="B8" s="29" t="n">
        <v>15300</v>
      </c>
    </row>
    <row r="9" customFormat="false" ht="12.8" hidden="false" customHeight="false" outlineLevel="0" collapsed="false">
      <c r="A9" s="28" t="s">
        <v>32</v>
      </c>
      <c r="B9" s="29" t="n">
        <v>12490</v>
      </c>
    </row>
    <row r="10" customFormat="false" ht="12.8" hidden="false" customHeight="false" outlineLevel="0" collapsed="false">
      <c r="A10" s="28" t="s">
        <v>49</v>
      </c>
      <c r="B10" s="29" t="n">
        <v>22290</v>
      </c>
    </row>
    <row r="11" customFormat="false" ht="12.8" hidden="false" customHeight="false" outlineLevel="0" collapsed="false">
      <c r="A11" s="28" t="s">
        <v>41</v>
      </c>
      <c r="B11" s="29" t="n">
        <v>19280</v>
      </c>
    </row>
    <row r="12" customFormat="false" ht="12.8" hidden="false" customHeight="false" outlineLevel="0" collapsed="false">
      <c r="A12" s="28" t="s">
        <v>58</v>
      </c>
      <c r="B12" s="30" t="n">
        <v>20790</v>
      </c>
    </row>
    <row r="13" customFormat="false" ht="12.8" hidden="false" customHeight="false" outlineLevel="0" collapsed="false">
      <c r="A13" s="31" t="s">
        <v>242</v>
      </c>
      <c r="B13" s="32" t="n">
        <v>144870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2026-10-03T09:20:04Z</dcterms:created>
  <dc:creator>openpyxl</dc:creator>
  <dc:description/>
  <dc:language>en-US</dc:language>
  <cp:lastModifiedBy/>
  <dcterms:modified xsi:type="dcterms:W3CDTF">2026-10-03T09:20:05Z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