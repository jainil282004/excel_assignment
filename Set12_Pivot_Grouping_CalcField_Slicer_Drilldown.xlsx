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Notes" sheetId="1" state="visible" r:id="rId3"/>
    <sheet name="Data" sheetId="2" state="visible" r:id="rId4"/>
    <sheet name="T1_Month_Year" sheetId="3" state="visible" r:id="rId5"/>
    <sheet name="T2_Quarterly" sheetId="4" state="visible" r:id="rId6"/>
    <sheet name="T3_Avg_Order_Value" sheetId="5" state="visible" r:id="rId7"/>
    <sheet name="T4_Slicer_Filter" sheetId="6" state="visible" r:id="rId8"/>
    <sheet name="T5_Drilldown_Q2_2026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<sst xmlns="http://schemas.openxmlformats.org/spreadsheetml/2006/main" count="904" uniqueCount="307">
  <si>
    <t xml:space="preserve">Set 12 - Pivot grouping, calculated field, slicer and drill-down</t>
  </si>
  <si>
    <t xml:space="preserve">Each task has its own worksheet (named in the 'Worksheet' column). Sample data is synthetic and created for this assignment.</t>
  </si>
  <si>
    <t xml:space="preserve">Task</t>
  </si>
  <si>
    <t xml:space="preserve">Question (summary)</t>
  </si>
  <si>
    <t xml:space="preserve">Worksheet</t>
  </si>
  <si>
    <t xml:space="preserve">What was done / answer / explanation</t>
  </si>
  <si>
    <t xml:space="preserve">1</t>
  </si>
  <si>
    <t xml:space="preserve">Group order dates by Month and Year (total sales).</t>
  </si>
  <si>
    <t xml:space="preserve">T1_Month_Year</t>
  </si>
  <si>
    <t xml:space="preserve">In a PivotTable: drop Order Date in Rows &gt; right-click a date &gt; Group &gt; select Months and Years &gt; OK; Amount in Values. This sheet reproduces the grouped result with SUMIFS (each month is a date range), plus the Year subtotals in F:H.</t>
  </si>
  <si>
    <t xml:space="preserve">2</t>
  </si>
  <si>
    <t xml:space="preserve">Group by Quarter; show quarterly trend for the latest year (2026).</t>
  </si>
  <si>
    <t xml:space="preserve">T2_Quarterly</t>
  </si>
  <si>
    <t xml:space="preserve">Right-click a date in the pivot &gt; Group &gt; Quarters (+ Years). The table lists each quarter with start/end dates and SUMIFS totals; rows for 2026 (Q1-Q3, data runs to 30-Sep-2026) are the latest-year trend shown in the column chart.</t>
  </si>
  <si>
    <t xml:space="preserve">3</t>
  </si>
  <si>
    <t xml:space="preserve">Calculated Field: average order value per month.</t>
  </si>
  <si>
    <t xml:space="preserve">T3_Avg_Order_Value</t>
  </si>
  <si>
    <t xml:space="preserve">PivotTable Analyze &gt; Fields, Items &amp; Sets &gt; Calculated Field: Name = AvgOrderValue, Formula = Amount / OrderCount (add a helper column OrderCount = 1 in the source, or use Count of Order ID as a second value). Here the same logic is =Sum of Amount / Count of Orders for every month (column D).</t>
  </si>
  <si>
    <t xml:space="preserve">4</t>
  </si>
  <si>
    <t xml:space="preserve">Slicer on City / Restaurant to filter sales trends.</t>
  </si>
  <si>
    <t xml:space="preserve">T4_Slicer_Filter</t>
  </si>
  <si>
    <t xml:space="preserve">Pick a city or restaurant in the yellow drop-downs (B1, B2) - table and chart update instantly (e.g. Ahmedabad / Burger King). This is the formula-driven equivalent of a Slicer. To add a true Slicer in Excel: click the pivot &gt; PivotTable Analyze &gt; Insert Slicer &gt; tick City / Restaurant.</t>
  </si>
  <si>
    <t xml:space="preserve">5</t>
  </si>
  <si>
    <t xml:space="preserve">Double-click a quarterly total to drill down; describe new worksheet.</t>
  </si>
  <si>
    <t xml:space="preserve">T5_Drilldown_Q2_2026</t>
  </si>
  <si>
    <t xml:space="preserve">Double-clicking the Q2-2026 total in the pivot makes Excel insert a NEW worksheet (e.g. 'Sheet2') holding an Excel table with every source row behind that number - all columns of the Data sheet (Order ID, Order Date, Restaurant, City, Amount) for the 38 orders placed between 1-Apr-2026 and 30-Jun-2026. The sum of its Amount column equals the pivot cell. This sheet shows that drill-down result.</t>
  </si>
  <si>
    <t xml:space="preserve">Order ID</t>
  </si>
  <si>
    <t xml:space="preserve">Order Date</t>
  </si>
  <si>
    <t xml:space="preserve">Restaurant</t>
  </si>
  <si>
    <t xml:space="preserve">City</t>
  </si>
  <si>
    <t xml:space="preserve">Amount</t>
  </si>
  <si>
    <t xml:space="preserve">ORD1001</t>
  </si>
  <si>
    <t xml:space="preserve">KFC</t>
  </si>
  <si>
    <t xml:space="preserve">Vadodara</t>
  </si>
  <si>
    <t xml:space="preserve">ORD1002</t>
  </si>
  <si>
    <t xml:space="preserve">Burger King</t>
  </si>
  <si>
    <t xml:space="preserve">ORD1003</t>
  </si>
  <si>
    <t xml:space="preserve">Mumbai</t>
  </si>
  <si>
    <t xml:space="preserve">ORD1004</t>
  </si>
  <si>
    <t xml:space="preserve">Gwalia Sweets</t>
  </si>
  <si>
    <t xml:space="preserve">Surat</t>
  </si>
  <si>
    <t xml:space="preserve">ORD1005</t>
  </si>
  <si>
    <t xml:space="preserve">ORD1006</t>
  </si>
  <si>
    <t xml:space="preserve">Biryani Blues</t>
  </si>
  <si>
    <t xml:space="preserve">Ahmedabad</t>
  </si>
  <si>
    <t xml:space="preserve">ORD1007</t>
  </si>
  <si>
    <t xml:space="preserve">Wok Express</t>
  </si>
  <si>
    <t xml:space="preserve">ORD1008</t>
  </si>
  <si>
    <t xml:space="preserve">Pune</t>
  </si>
  <si>
    <t xml:space="preserve">ORD1009</t>
  </si>
  <si>
    <t xml:space="preserve">ORD1010</t>
  </si>
  <si>
    <t xml:space="preserve">ORD1011</t>
  </si>
  <si>
    <t xml:space="preserve">ORD1012</t>
  </si>
  <si>
    <t xml:space="preserve">ORD1013</t>
  </si>
  <si>
    <t xml:space="preserve">Pizza Hut</t>
  </si>
  <si>
    <t xml:space="preserve">ORD1014</t>
  </si>
  <si>
    <t xml:space="preserve">ORD1015</t>
  </si>
  <si>
    <t xml:space="preserve">Domino's</t>
  </si>
  <si>
    <t xml:space="preserve">ORD1016</t>
  </si>
  <si>
    <t xml:space="preserve">ORD1017</t>
  </si>
  <si>
    <t xml:space="preserve">ORD1018</t>
  </si>
  <si>
    <t xml:space="preserve">ORD1019</t>
  </si>
  <si>
    <t xml:space="preserve">ORD1020</t>
  </si>
  <si>
    <t xml:space="preserve">ORD1021</t>
  </si>
  <si>
    <t xml:space="preserve">ORD1022</t>
  </si>
  <si>
    <t xml:space="preserve">ORD1023</t>
  </si>
  <si>
    <t xml:space="preserve">Rajkot</t>
  </si>
  <si>
    <t xml:space="preserve">ORD1024</t>
  </si>
  <si>
    <t xml:space="preserve">ORD1025</t>
  </si>
  <si>
    <t xml:space="preserve">ORD1026</t>
  </si>
  <si>
    <t xml:space="preserve">ORD1027</t>
  </si>
  <si>
    <t xml:space="preserve">Honest Restaurant</t>
  </si>
  <si>
    <t xml:space="preserve">ORD1028</t>
  </si>
  <si>
    <t xml:space="preserve">ORD1029</t>
  </si>
  <si>
    <t xml:space="preserve">ORD1030</t>
  </si>
  <si>
    <t xml:space="preserve">ORD1031</t>
  </si>
  <si>
    <t xml:space="preserve">ORD1032</t>
  </si>
  <si>
    <t xml:space="preserve">ORD1033</t>
  </si>
  <si>
    <t xml:space="preserve">ORD1034</t>
  </si>
  <si>
    <t xml:space="preserve">ORD1035</t>
  </si>
  <si>
    <t xml:space="preserve">ORD1036</t>
  </si>
  <si>
    <t xml:space="preserve">ORD1037</t>
  </si>
  <si>
    <t xml:space="preserve">ORD1038</t>
  </si>
  <si>
    <t xml:space="preserve">ORD1039</t>
  </si>
  <si>
    <t xml:space="preserve">ORD1040</t>
  </si>
  <si>
    <t xml:space="preserve">ORD1041</t>
  </si>
  <si>
    <t xml:space="preserve">ORD1042</t>
  </si>
  <si>
    <t xml:space="preserve">ORD1043</t>
  </si>
  <si>
    <t xml:space="preserve">ORD1044</t>
  </si>
  <si>
    <t xml:space="preserve">ORD1045</t>
  </si>
  <si>
    <t xml:space="preserve">ORD1046</t>
  </si>
  <si>
    <t xml:space="preserve">ORD1047</t>
  </si>
  <si>
    <t xml:space="preserve">ORD1048</t>
  </si>
  <si>
    <t xml:space="preserve">ORD1049</t>
  </si>
  <si>
    <t xml:space="preserve">ORD1050</t>
  </si>
  <si>
    <t xml:space="preserve">ORD1051</t>
  </si>
  <si>
    <t xml:space="preserve">ORD1052</t>
  </si>
  <si>
    <t xml:space="preserve">ORD1053</t>
  </si>
  <si>
    <t xml:space="preserve">ORD1054</t>
  </si>
  <si>
    <t xml:space="preserve">ORD1055</t>
  </si>
  <si>
    <t xml:space="preserve">ORD1056</t>
  </si>
  <si>
    <t xml:space="preserve">ORD1057</t>
  </si>
  <si>
    <t xml:space="preserve">ORD1058</t>
  </si>
  <si>
    <t xml:space="preserve">ORD1059</t>
  </si>
  <si>
    <t xml:space="preserve">ORD1060</t>
  </si>
  <si>
    <t xml:space="preserve">ORD1061</t>
  </si>
  <si>
    <t xml:space="preserve">ORD1062</t>
  </si>
  <si>
    <t xml:space="preserve">ORD1063</t>
  </si>
  <si>
    <t xml:space="preserve">ORD1064</t>
  </si>
  <si>
    <t xml:space="preserve">ORD1065</t>
  </si>
  <si>
    <t xml:space="preserve">ORD1066</t>
  </si>
  <si>
    <t xml:space="preserve">ORD1067</t>
  </si>
  <si>
    <t xml:space="preserve">ORD1068</t>
  </si>
  <si>
    <t xml:space="preserve">ORD1069</t>
  </si>
  <si>
    <t xml:space="preserve">ORD1070</t>
  </si>
  <si>
    <t xml:space="preserve">ORD1071</t>
  </si>
  <si>
    <t xml:space="preserve">ORD1072</t>
  </si>
  <si>
    <t xml:space="preserve">ORD1073</t>
  </si>
  <si>
    <t xml:space="preserve">ORD1074</t>
  </si>
  <si>
    <t xml:space="preserve">ORD1075</t>
  </si>
  <si>
    <t xml:space="preserve">ORD1076</t>
  </si>
  <si>
    <t xml:space="preserve">ORD1077</t>
  </si>
  <si>
    <t xml:space="preserve">ORD1078</t>
  </si>
  <si>
    <t xml:space="preserve">ORD1079</t>
  </si>
  <si>
    <t xml:space="preserve">ORD1080</t>
  </si>
  <si>
    <t xml:space="preserve">ORD1081</t>
  </si>
  <si>
    <t xml:space="preserve">ORD1082</t>
  </si>
  <si>
    <t xml:space="preserve">ORD1083</t>
  </si>
  <si>
    <t xml:space="preserve">ORD1084</t>
  </si>
  <si>
    <t xml:space="preserve">ORD1085</t>
  </si>
  <si>
    <t xml:space="preserve">ORD1086</t>
  </si>
  <si>
    <t xml:space="preserve">ORD1087</t>
  </si>
  <si>
    <t xml:space="preserve">ORD1088</t>
  </si>
  <si>
    <t xml:space="preserve">ORD1089</t>
  </si>
  <si>
    <t xml:space="preserve">ORD1090</t>
  </si>
  <si>
    <t xml:space="preserve">ORD1091</t>
  </si>
  <si>
    <t xml:space="preserve">ORD1092</t>
  </si>
  <si>
    <t xml:space="preserve">ORD1093</t>
  </si>
  <si>
    <t xml:space="preserve">ORD1094</t>
  </si>
  <si>
    <t xml:space="preserve">ORD1095</t>
  </si>
  <si>
    <t xml:space="preserve">ORD1096</t>
  </si>
  <si>
    <t xml:space="preserve">ORD1097</t>
  </si>
  <si>
    <t xml:space="preserve">ORD1098</t>
  </si>
  <si>
    <t xml:space="preserve">ORD1099</t>
  </si>
  <si>
    <t xml:space="preserve">ORD1100</t>
  </si>
  <si>
    <t xml:space="preserve">ORD1101</t>
  </si>
  <si>
    <t xml:space="preserve">ORD1102</t>
  </si>
  <si>
    <t xml:space="preserve">ORD1103</t>
  </si>
  <si>
    <t xml:space="preserve">ORD1104</t>
  </si>
  <si>
    <t xml:space="preserve">ORD1105</t>
  </si>
  <si>
    <t xml:space="preserve">ORD1106</t>
  </si>
  <si>
    <t xml:space="preserve">ORD1107</t>
  </si>
  <si>
    <t xml:space="preserve">ORD1108</t>
  </si>
  <si>
    <t xml:space="preserve">ORD1109</t>
  </si>
  <si>
    <t xml:space="preserve">ORD1110</t>
  </si>
  <si>
    <t xml:space="preserve">ORD1111</t>
  </si>
  <si>
    <t xml:space="preserve">ORD1112</t>
  </si>
  <si>
    <t xml:space="preserve">ORD1113</t>
  </si>
  <si>
    <t xml:space="preserve">ORD1114</t>
  </si>
  <si>
    <t xml:space="preserve">ORD1115</t>
  </si>
  <si>
    <t xml:space="preserve">ORD1116</t>
  </si>
  <si>
    <t xml:space="preserve">ORD1117</t>
  </si>
  <si>
    <t xml:space="preserve">ORD1118</t>
  </si>
  <si>
    <t xml:space="preserve">ORD1119</t>
  </si>
  <si>
    <t xml:space="preserve">ORD1120</t>
  </si>
  <si>
    <t xml:space="preserve">ORD1121</t>
  </si>
  <si>
    <t xml:space="preserve">ORD1122</t>
  </si>
  <si>
    <t xml:space="preserve">ORD1123</t>
  </si>
  <si>
    <t xml:space="preserve">ORD1124</t>
  </si>
  <si>
    <t xml:space="preserve">ORD1125</t>
  </si>
  <si>
    <t xml:space="preserve">ORD1126</t>
  </si>
  <si>
    <t xml:space="preserve">ORD1127</t>
  </si>
  <si>
    <t xml:space="preserve">ORD1128</t>
  </si>
  <si>
    <t xml:space="preserve">ORD1129</t>
  </si>
  <si>
    <t xml:space="preserve">ORD1130</t>
  </si>
  <si>
    <t xml:space="preserve">ORD1131</t>
  </si>
  <si>
    <t xml:space="preserve">ORD1132</t>
  </si>
  <si>
    <t xml:space="preserve">ORD1133</t>
  </si>
  <si>
    <t xml:space="preserve">ORD1134</t>
  </si>
  <si>
    <t xml:space="preserve">ORD1135</t>
  </si>
  <si>
    <t xml:space="preserve">ORD1136</t>
  </si>
  <si>
    <t xml:space="preserve">ORD1137</t>
  </si>
  <si>
    <t xml:space="preserve">ORD1138</t>
  </si>
  <si>
    <t xml:space="preserve">ORD1139</t>
  </si>
  <si>
    <t xml:space="preserve">ORD1140</t>
  </si>
  <si>
    <t xml:space="preserve">ORD1141</t>
  </si>
  <si>
    <t xml:space="preserve">ORD1142</t>
  </si>
  <si>
    <t xml:space="preserve">ORD1143</t>
  </si>
  <si>
    <t xml:space="preserve">ORD1144</t>
  </si>
  <si>
    <t xml:space="preserve">ORD1145</t>
  </si>
  <si>
    <t xml:space="preserve">ORD1146</t>
  </si>
  <si>
    <t xml:space="preserve">ORD1147</t>
  </si>
  <si>
    <t xml:space="preserve">ORD1148</t>
  </si>
  <si>
    <t xml:space="preserve">ORD1149</t>
  </si>
  <si>
    <t xml:space="preserve">ORD1150</t>
  </si>
  <si>
    <t xml:space="preserve">ORD1151</t>
  </si>
  <si>
    <t xml:space="preserve">ORD1152</t>
  </si>
  <si>
    <t xml:space="preserve">ORD1153</t>
  </si>
  <si>
    <t xml:space="preserve">ORD1154</t>
  </si>
  <si>
    <t xml:space="preserve">ORD1155</t>
  </si>
  <si>
    <t xml:space="preserve">ORD1156</t>
  </si>
  <si>
    <t xml:space="preserve">ORD1157</t>
  </si>
  <si>
    <t xml:space="preserve">ORD1158</t>
  </si>
  <si>
    <t xml:space="preserve">ORD1159</t>
  </si>
  <si>
    <t xml:space="preserve">ORD1160</t>
  </si>
  <si>
    <t xml:space="preserve">ORD1161</t>
  </si>
  <si>
    <t xml:space="preserve">ORD1162</t>
  </si>
  <si>
    <t xml:space="preserve">ORD1163</t>
  </si>
  <si>
    <t xml:space="preserve">ORD1164</t>
  </si>
  <si>
    <t xml:space="preserve">ORD1165</t>
  </si>
  <si>
    <t xml:space="preserve">ORD1166</t>
  </si>
  <si>
    <t xml:space="preserve">ORD1167</t>
  </si>
  <si>
    <t xml:space="preserve">ORD1168</t>
  </si>
  <si>
    <t xml:space="preserve">ORD1169</t>
  </si>
  <si>
    <t xml:space="preserve">ORD1170</t>
  </si>
  <si>
    <t xml:space="preserve">ORD1171</t>
  </si>
  <si>
    <t xml:space="preserve">ORD1172</t>
  </si>
  <si>
    <t xml:space="preserve">ORD1173</t>
  </si>
  <si>
    <t xml:space="preserve">ORD1174</t>
  </si>
  <si>
    <t xml:space="preserve">ORD1175</t>
  </si>
  <si>
    <t xml:space="preserve">ORD1176</t>
  </si>
  <si>
    <t xml:space="preserve">ORD1177</t>
  </si>
  <si>
    <t xml:space="preserve">ORD1178</t>
  </si>
  <si>
    <t xml:space="preserve">ORD1179</t>
  </si>
  <si>
    <t xml:space="preserve">ORD1180</t>
  </si>
  <si>
    <t xml:space="preserve">ORD1181</t>
  </si>
  <si>
    <t xml:space="preserve">ORD1182</t>
  </si>
  <si>
    <t xml:space="preserve">ORD1183</t>
  </si>
  <si>
    <t xml:space="preserve">ORD1184</t>
  </si>
  <si>
    <t xml:space="preserve">ORD1185</t>
  </si>
  <si>
    <t xml:space="preserve">ORD1186</t>
  </si>
  <si>
    <t xml:space="preserve">ORD1187</t>
  </si>
  <si>
    <t xml:space="preserve">ORD1188</t>
  </si>
  <si>
    <t xml:space="preserve">ORD1189</t>
  </si>
  <si>
    <t xml:space="preserve">ORD1190</t>
  </si>
  <si>
    <t xml:space="preserve">ORD1191</t>
  </si>
  <si>
    <t xml:space="preserve">ORD1192</t>
  </si>
  <si>
    <t xml:space="preserve">ORD1193</t>
  </si>
  <si>
    <t xml:space="preserve">ORD1194</t>
  </si>
  <si>
    <t xml:space="preserve">ORD1195</t>
  </si>
  <si>
    <t xml:space="preserve">ORD1196</t>
  </si>
  <si>
    <t xml:space="preserve">ORD1197</t>
  </si>
  <si>
    <t xml:space="preserve">ORD1198</t>
  </si>
  <si>
    <t xml:space="preserve">ORD1199</t>
  </si>
  <si>
    <t xml:space="preserve">ORD1200</t>
  </si>
  <si>
    <t xml:space="preserve">ORD1201</t>
  </si>
  <si>
    <t xml:space="preserve">ORD1202</t>
  </si>
  <si>
    <t xml:space="preserve">ORD1203</t>
  </si>
  <si>
    <t xml:space="preserve">ORD1204</t>
  </si>
  <si>
    <t xml:space="preserve">ORD1205</t>
  </si>
  <si>
    <t xml:space="preserve">ORD1206</t>
  </si>
  <si>
    <t xml:space="preserve">ORD1207</t>
  </si>
  <si>
    <t xml:space="preserve">ORD1208</t>
  </si>
  <si>
    <t xml:space="preserve">ORD1209</t>
  </si>
  <si>
    <t xml:space="preserve">ORD1210</t>
  </si>
  <si>
    <t xml:space="preserve">ORD1211</t>
  </si>
  <si>
    <t xml:space="preserve">ORD1212</t>
  </si>
  <si>
    <t xml:space="preserve">ORD1213</t>
  </si>
  <si>
    <t xml:space="preserve">ORD1214</t>
  </si>
  <si>
    <t xml:space="preserve">ORD1215</t>
  </si>
  <si>
    <t xml:space="preserve">ORD1216</t>
  </si>
  <si>
    <t xml:space="preserve">ORD1217</t>
  </si>
  <si>
    <t xml:space="preserve">ORD1218</t>
  </si>
  <si>
    <t xml:space="preserve">ORD1219</t>
  </si>
  <si>
    <t xml:space="preserve">ORD1220</t>
  </si>
  <si>
    <t xml:space="preserve">ORD1221</t>
  </si>
  <si>
    <t xml:space="preserve">ORD1222</t>
  </si>
  <si>
    <t xml:space="preserve">ORD1223</t>
  </si>
  <si>
    <t xml:space="preserve">ORD1224</t>
  </si>
  <si>
    <t xml:space="preserve">ORD1225</t>
  </si>
  <si>
    <t xml:space="preserve">ORD1226</t>
  </si>
  <si>
    <t xml:space="preserve">ORD1227</t>
  </si>
  <si>
    <t xml:space="preserve">ORD1228</t>
  </si>
  <si>
    <t xml:space="preserve">ORD1229</t>
  </si>
  <si>
    <t xml:space="preserve">ORD1230</t>
  </si>
  <si>
    <t xml:space="preserve">ORD1231</t>
  </si>
  <si>
    <t xml:space="preserve">ORD1232</t>
  </si>
  <si>
    <t xml:space="preserve">ORD1233</t>
  </si>
  <si>
    <t xml:space="preserve">ORD1234</t>
  </si>
  <si>
    <t xml:space="preserve">ORD1235</t>
  </si>
  <si>
    <t xml:space="preserve">ORD1236</t>
  </si>
  <si>
    <t xml:space="preserve">ORD1237</t>
  </si>
  <si>
    <t xml:space="preserve">ORD1238</t>
  </si>
  <si>
    <t xml:space="preserve">ORD1239</t>
  </si>
  <si>
    <t xml:space="preserve">ORD1240</t>
  </si>
  <si>
    <t xml:space="preserve">Year</t>
  </si>
  <si>
    <t xml:space="preserve">Month</t>
  </si>
  <si>
    <t xml:space="preserve">Total Sales</t>
  </si>
  <si>
    <t xml:space="preserve">Orders</t>
  </si>
  <si>
    <t xml:space="preserve">Total Sales (grouped by Year)</t>
  </si>
  <si>
    <t xml:space="preserve">Grand total</t>
  </si>
  <si>
    <t xml:space="preserve">Quarter</t>
  </si>
  <si>
    <t xml:space="preserve">Start</t>
  </si>
  <si>
    <t xml:space="preserve">End</t>
  </si>
  <si>
    <t xml:space="preserve">Q1</t>
  </si>
  <si>
    <t xml:space="preserve">Q2</t>
  </si>
  <si>
    <t xml:space="preserve">Q3</t>
  </si>
  <si>
    <t xml:space="preserve">Q4</t>
  </si>
  <si>
    <t xml:space="preserve">Sum of Amount</t>
  </si>
  <si>
    <t xml:space="preserve">Count of Orders</t>
  </si>
  <si>
    <t xml:space="preserve">Average Order Value (Calculated Field)</t>
  </si>
  <si>
    <t xml:space="preserve">City filter (slicer substitute):</t>
  </si>
  <si>
    <t xml:space="preserve">All Cities</t>
  </si>
  <si>
    <t xml:space="preserve">criteria -&gt;</t>
  </si>
  <si>
    <t xml:space="preserve">Restaurant filter:</t>
  </si>
  <si>
    <t xml:space="preserve">All Restaurants</t>
  </si>
  <si>
    <t xml:space="preserve">Total (matches pivot Q2-2026 total)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</si>
</sst>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#,##0"/>
    <numFmt numFmtId="167" formatCode="mmm"/>
    <numFmt numFmtId="168" formatCode="General"/>
    <numFmt numFmtId="169" formatCode="mmm\-yyyy"/>
    <numFmt numFmtId="170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Quarterly sales (latest year = 2026 rows 6-8)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T2_Quarterly!E1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T2_Quarterly!$B$2:$B$8</c:f>
              <c:strCache>
                <c:ptCount val="7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Q1</c:v>
                </c:pt>
                <c:pt idx="5">
                  <c:v>Q2</c:v>
                </c:pt>
                <c:pt idx="6">
                  <c:v>Q3</c:v>
                </c:pt>
              </c:strCache>
            </c:strRef>
          </c:cat>
          <c:val>
            <c:numRef>
              <c:f>T2_Quarterly!$E$2:$E$8</c:f>
              <c:numCache>
                <c:formatCode>#,##0</c:formatCode>
                <c:ptCount val="7"/>
                <c:pt idx="0">
                  <c:v>28270</c:v>
                </c:pt>
                <c:pt idx="1">
                  <c:v>19190</c:v>
                </c:pt>
                <c:pt idx="2">
                  <c:v>23720</c:v>
                </c:pt>
                <c:pt idx="3">
                  <c:v>27310</c:v>
                </c:pt>
                <c:pt idx="4">
                  <c:v>36800</c:v>
                </c:pt>
                <c:pt idx="5">
                  <c:v>29170</c:v>
                </c:pt>
                <c:pt idx="6">
                  <c:v>27660</c:v>
                </c:pt>
              </c:numCache>
            </c:numRef>
          </c:val>
        </c:ser>
        <c:gapWidth val="150"/>
        <c:overlap val="0"/>
        <c:axId val="58481"/>
        <c:axId val="55537644"/>
      </c:barChart>
      <c:catAx>
        <c:axId val="584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537644"/>
        <c:crosses val="autoZero"/>
        <c:auto val="1"/>
        <c:lblAlgn val="ctr"/>
        <c:lblOffset val="100"/>
        <c:noMultiLvlLbl val="0"/>
      </c:catAx>
      <c:valAx>
        <c:axId val="555376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4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for the selected City / Restaurant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T4_Slicer_Filter!B4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T4_Slicer_Filter!$A$5:$A$25</c:f>
              <c:strCache>
                <c:ptCount val="21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  <c:pt idx="12">
                  <c:v>Jan-2026</c:v>
                </c:pt>
                <c:pt idx="13">
                  <c:v>Feb-2026</c:v>
                </c:pt>
                <c:pt idx="14">
                  <c:v>Mar-2026</c:v>
                </c:pt>
                <c:pt idx="15">
                  <c:v>Apr-2026</c:v>
                </c:pt>
                <c:pt idx="16">
                  <c:v>May-2026</c:v>
                </c:pt>
                <c:pt idx="17">
                  <c:v>Jun-2026</c:v>
                </c:pt>
                <c:pt idx="18">
                  <c:v>Jul-2026</c:v>
                </c:pt>
                <c:pt idx="19">
                  <c:v>Aug-2026</c:v>
                </c:pt>
                <c:pt idx="20">
                  <c:v>Sep-2026</c:v>
                </c:pt>
              </c:strCache>
            </c:strRef>
          </c:cat>
          <c:val>
            <c:numRef>
              <c:f>T4_Slicer_Filter!$B$5:$B$25</c:f>
              <c:numCache>
                <c:formatCode>#,##0</c:formatCode>
                <c:ptCount val="21"/>
                <c:pt idx="0">
                  <c:v>9490</c:v>
                </c:pt>
                <c:pt idx="1">
                  <c:v>9820</c:v>
                </c:pt>
                <c:pt idx="2">
                  <c:v>8960</c:v>
                </c:pt>
                <c:pt idx="3">
                  <c:v>5180</c:v>
                </c:pt>
                <c:pt idx="4">
                  <c:v>8500</c:v>
                </c:pt>
                <c:pt idx="5">
                  <c:v>5510</c:v>
                </c:pt>
                <c:pt idx="6">
                  <c:v>10320</c:v>
                </c:pt>
                <c:pt idx="7">
                  <c:v>6250</c:v>
                </c:pt>
                <c:pt idx="8">
                  <c:v>7150</c:v>
                </c:pt>
                <c:pt idx="9">
                  <c:v>9610</c:v>
                </c:pt>
                <c:pt idx="10">
                  <c:v>10320</c:v>
                </c:pt>
                <c:pt idx="11">
                  <c:v>7380</c:v>
                </c:pt>
                <c:pt idx="12">
                  <c:v>16350</c:v>
                </c:pt>
                <c:pt idx="13">
                  <c:v>11180</c:v>
                </c:pt>
                <c:pt idx="14">
                  <c:v>9270</c:v>
                </c:pt>
                <c:pt idx="15">
                  <c:v>7540</c:v>
                </c:pt>
                <c:pt idx="16">
                  <c:v>11460</c:v>
                </c:pt>
                <c:pt idx="17">
                  <c:v>10170</c:v>
                </c:pt>
                <c:pt idx="18">
                  <c:v>13780</c:v>
                </c:pt>
                <c:pt idx="19">
                  <c:v>4320</c:v>
                </c:pt>
                <c:pt idx="20">
                  <c:v>9560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019947"/>
        <c:axId val="46738277"/>
      </c:lineChart>
      <c:catAx>
        <c:axId val="85019947"/>
        <c:scaling>
          <c:orientation val="minMax"/>
        </c:scaling>
        <c:delete val="0"/>
        <c:axPos val="b"/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38277"/>
        <c:crosses val="autoZero"/>
        <c:auto val="1"/>
        <c:lblAlgn val="ctr"/>
        <c:lblOffset val="100"/>
        <c:noMultiLvlLbl val="0"/>
      </c:catAx>
      <c:valAx>
        <c:axId val="467382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199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15</xdr:col>
      <xdr:colOff>255960</xdr:colOff>
      <xdr:row>16</xdr:row>
      <xdr:rowOff>21960</xdr:rowOff>
    </xdr:to>
    <xdr:graphicFrame>
      <xdr:nvGraphicFramePr>
        <xdr:cNvPr id="0" name="Chart 1"/>
        <xdr:cNvGraphicFramePr/>
      </xdr:nvGraphicFramePr>
      <xdr:xfrm>
        <a:off x="526356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14</xdr:col>
      <xdr:colOff>256320</xdr:colOff>
      <xdr:row>18</xdr:row>
      <xdr:rowOff>22320</xdr:rowOff>
    </xdr:to>
    <xdr:graphicFrame>
      <xdr:nvGraphicFramePr>
        <xdr:cNvPr id="1" name="Chart 1"/>
        <xdr:cNvGraphicFramePr/>
      </xdr:nvGraphicFramePr>
      <xdr:xfrm>
        <a:off x="674388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22"/>
    <col collapsed="false" customWidth="true" hidden="false" outlineLevel="0" max="4" min="4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3.8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23.8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35.05" hidden="false" customHeight="false" outlineLevel="0" collapsed="false">
      <c r="A7" s="4" t="s">
        <v>14</v>
      </c>
      <c r="B7" s="4" t="s">
        <v>15</v>
      </c>
      <c r="C7" s="4" t="s">
        <v>16</v>
      </c>
      <c r="D7" s="4" t="s">
        <v>17</v>
      </c>
    </row>
    <row r="8" customFormat="false" ht="35.05" hidden="false" customHeight="false" outlineLevel="0" collapsed="false">
      <c r="A8" s="4" t="s">
        <v>18</v>
      </c>
      <c r="B8" s="4" t="s">
        <v>19</v>
      </c>
      <c r="C8" s="4" t="s">
        <v>20</v>
      </c>
      <c r="D8" s="4" t="s">
        <v>21</v>
      </c>
    </row>
    <row r="9" customFormat="false" ht="35.05" hidden="false" customHeight="false" outlineLevel="0" collapsed="false">
      <c r="A9" s="4" t="s">
        <v>22</v>
      </c>
      <c r="B9" s="4" t="s">
        <v>23</v>
      </c>
      <c r="C9" s="4" t="s">
        <v>24</v>
      </c>
      <c r="D9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9"/>
  </cols>
  <sheetData>
    <row r="1" customFormat="false" ht="15" hidden="false" customHeight="false" outlineLevel="0" collapsed="false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</row>
    <row r="2" customFormat="false" ht="15" hidden="false" customHeight="false" outlineLevel="0" collapsed="false">
      <c r="A2" s="5" t="s">
        <v>31</v>
      </c>
      <c r="B2" s="6" t="n">
        <v>46016</v>
      </c>
      <c r="C2" s="5" t="s">
        <v>32</v>
      </c>
      <c r="D2" s="5" t="s">
        <v>33</v>
      </c>
      <c r="E2" s="7" t="n">
        <v>820</v>
      </c>
    </row>
    <row r="3" customFormat="false" ht="15" hidden="false" customHeight="false" outlineLevel="0" collapsed="false">
      <c r="A3" s="5" t="s">
        <v>34</v>
      </c>
      <c r="B3" s="6" t="n">
        <v>46129</v>
      </c>
      <c r="C3" s="5" t="s">
        <v>35</v>
      </c>
      <c r="D3" s="5" t="s">
        <v>33</v>
      </c>
      <c r="E3" s="7" t="n">
        <v>500</v>
      </c>
    </row>
    <row r="4" customFormat="false" ht="15" hidden="false" customHeight="false" outlineLevel="0" collapsed="false">
      <c r="A4" s="5" t="s">
        <v>36</v>
      </c>
      <c r="B4" s="6" t="n">
        <v>46108</v>
      </c>
      <c r="C4" s="5" t="s">
        <v>35</v>
      </c>
      <c r="D4" s="5" t="s">
        <v>37</v>
      </c>
      <c r="E4" s="7" t="n">
        <v>330</v>
      </c>
    </row>
    <row r="5" customFormat="false" ht="15" hidden="false" customHeight="false" outlineLevel="0" collapsed="false">
      <c r="A5" s="5" t="s">
        <v>38</v>
      </c>
      <c r="B5" s="6" t="n">
        <v>45862</v>
      </c>
      <c r="C5" s="5" t="s">
        <v>39</v>
      </c>
      <c r="D5" s="5" t="s">
        <v>40</v>
      </c>
      <c r="E5" s="7" t="n">
        <v>880</v>
      </c>
    </row>
    <row r="6" customFormat="false" ht="15" hidden="false" customHeight="false" outlineLevel="0" collapsed="false">
      <c r="A6" s="5" t="s">
        <v>41</v>
      </c>
      <c r="B6" s="6" t="n">
        <v>45747</v>
      </c>
      <c r="C6" s="5" t="s">
        <v>39</v>
      </c>
      <c r="D6" s="5" t="s">
        <v>37</v>
      </c>
      <c r="E6" s="7" t="n">
        <v>1170</v>
      </c>
    </row>
    <row r="7" customFormat="false" ht="15" hidden="false" customHeight="false" outlineLevel="0" collapsed="false">
      <c r="A7" s="5" t="s">
        <v>42</v>
      </c>
      <c r="B7" s="6" t="n">
        <v>46112</v>
      </c>
      <c r="C7" s="5" t="s">
        <v>43</v>
      </c>
      <c r="D7" s="5" t="s">
        <v>44</v>
      </c>
      <c r="E7" s="7" t="n">
        <v>1360</v>
      </c>
    </row>
    <row r="8" customFormat="false" ht="15" hidden="false" customHeight="false" outlineLevel="0" collapsed="false">
      <c r="A8" s="5" t="s">
        <v>45</v>
      </c>
      <c r="B8" s="6" t="n">
        <v>46294</v>
      </c>
      <c r="C8" s="5" t="s">
        <v>46</v>
      </c>
      <c r="D8" s="5" t="s">
        <v>40</v>
      </c>
      <c r="E8" s="7" t="n">
        <v>550</v>
      </c>
    </row>
    <row r="9" customFormat="false" ht="15" hidden="false" customHeight="false" outlineLevel="0" collapsed="false">
      <c r="A9" s="5" t="s">
        <v>47</v>
      </c>
      <c r="B9" s="6" t="n">
        <v>45743</v>
      </c>
      <c r="C9" s="5" t="s">
        <v>35</v>
      </c>
      <c r="D9" s="5" t="s">
        <v>48</v>
      </c>
      <c r="E9" s="7" t="n">
        <v>790</v>
      </c>
    </row>
    <row r="10" customFormat="false" ht="15" hidden="false" customHeight="false" outlineLevel="0" collapsed="false">
      <c r="A10" s="5" t="s">
        <v>49</v>
      </c>
      <c r="B10" s="6" t="n">
        <v>46146</v>
      </c>
      <c r="C10" s="5" t="s">
        <v>46</v>
      </c>
      <c r="D10" s="5" t="s">
        <v>37</v>
      </c>
      <c r="E10" s="7" t="n">
        <v>750</v>
      </c>
    </row>
    <row r="11" customFormat="false" ht="15" hidden="false" customHeight="false" outlineLevel="0" collapsed="false">
      <c r="A11" s="5" t="s">
        <v>50</v>
      </c>
      <c r="B11" s="6" t="n">
        <v>45854</v>
      </c>
      <c r="C11" s="5" t="s">
        <v>35</v>
      </c>
      <c r="D11" s="5" t="s">
        <v>37</v>
      </c>
      <c r="E11" s="7" t="n">
        <v>250</v>
      </c>
    </row>
    <row r="12" customFormat="false" ht="15" hidden="false" customHeight="false" outlineLevel="0" collapsed="false">
      <c r="A12" s="5" t="s">
        <v>51</v>
      </c>
      <c r="B12" s="6" t="n">
        <v>45975</v>
      </c>
      <c r="C12" s="5" t="s">
        <v>39</v>
      </c>
      <c r="D12" s="5" t="s">
        <v>37</v>
      </c>
      <c r="E12" s="7" t="n">
        <v>1010</v>
      </c>
    </row>
    <row r="13" customFormat="false" ht="15" hidden="false" customHeight="false" outlineLevel="0" collapsed="false">
      <c r="A13" s="5" t="s">
        <v>52</v>
      </c>
      <c r="B13" s="6" t="n">
        <v>46181</v>
      </c>
      <c r="C13" s="5" t="s">
        <v>43</v>
      </c>
      <c r="D13" s="5" t="s">
        <v>33</v>
      </c>
      <c r="E13" s="7" t="n">
        <v>620</v>
      </c>
    </row>
    <row r="14" customFormat="false" ht="15" hidden="false" customHeight="false" outlineLevel="0" collapsed="false">
      <c r="A14" s="5" t="s">
        <v>53</v>
      </c>
      <c r="B14" s="6" t="n">
        <v>46098</v>
      </c>
      <c r="C14" s="5" t="s">
        <v>54</v>
      </c>
      <c r="D14" s="5" t="s">
        <v>44</v>
      </c>
      <c r="E14" s="7" t="n">
        <v>1200</v>
      </c>
    </row>
    <row r="15" customFormat="false" ht="15" hidden="false" customHeight="false" outlineLevel="0" collapsed="false">
      <c r="A15" s="5" t="s">
        <v>55</v>
      </c>
      <c r="B15" s="6" t="n">
        <v>45702</v>
      </c>
      <c r="C15" s="5" t="s">
        <v>35</v>
      </c>
      <c r="D15" s="5" t="s">
        <v>40</v>
      </c>
      <c r="E15" s="7" t="n">
        <v>690</v>
      </c>
    </row>
    <row r="16" customFormat="false" ht="15" hidden="false" customHeight="false" outlineLevel="0" collapsed="false">
      <c r="A16" s="5" t="s">
        <v>56</v>
      </c>
      <c r="B16" s="6" t="n">
        <v>45737</v>
      </c>
      <c r="C16" s="5" t="s">
        <v>57</v>
      </c>
      <c r="D16" s="5" t="s">
        <v>48</v>
      </c>
      <c r="E16" s="7" t="n">
        <v>370</v>
      </c>
    </row>
    <row r="17" customFormat="false" ht="15" hidden="false" customHeight="false" outlineLevel="0" collapsed="false">
      <c r="A17" s="5" t="s">
        <v>58</v>
      </c>
      <c r="B17" s="6" t="n">
        <v>46274</v>
      </c>
      <c r="C17" s="5" t="s">
        <v>46</v>
      </c>
      <c r="D17" s="5" t="s">
        <v>33</v>
      </c>
      <c r="E17" s="7" t="n">
        <v>590</v>
      </c>
    </row>
    <row r="18" customFormat="false" ht="15" hidden="false" customHeight="false" outlineLevel="0" collapsed="false">
      <c r="A18" s="5" t="s">
        <v>59</v>
      </c>
      <c r="B18" s="6" t="n">
        <v>45946</v>
      </c>
      <c r="C18" s="5" t="s">
        <v>32</v>
      </c>
      <c r="D18" s="5" t="s">
        <v>33</v>
      </c>
      <c r="E18" s="7" t="n">
        <v>580</v>
      </c>
    </row>
    <row r="19" customFormat="false" ht="15" hidden="false" customHeight="false" outlineLevel="0" collapsed="false">
      <c r="A19" s="5" t="s">
        <v>60</v>
      </c>
      <c r="B19" s="6" t="n">
        <v>46220</v>
      </c>
      <c r="C19" s="5" t="s">
        <v>32</v>
      </c>
      <c r="D19" s="5" t="s">
        <v>40</v>
      </c>
      <c r="E19" s="7" t="n">
        <v>740</v>
      </c>
    </row>
    <row r="20" customFormat="false" ht="15" hidden="false" customHeight="false" outlineLevel="0" collapsed="false">
      <c r="A20" s="5" t="s">
        <v>61</v>
      </c>
      <c r="B20" s="6" t="n">
        <v>46279</v>
      </c>
      <c r="C20" s="5" t="s">
        <v>43</v>
      </c>
      <c r="D20" s="5" t="s">
        <v>37</v>
      </c>
      <c r="E20" s="7" t="n">
        <v>1310</v>
      </c>
    </row>
    <row r="21" customFormat="false" ht="15" hidden="false" customHeight="false" outlineLevel="0" collapsed="false">
      <c r="A21" s="5" t="s">
        <v>62</v>
      </c>
      <c r="B21" s="6" t="n">
        <v>45666</v>
      </c>
      <c r="C21" s="5" t="s">
        <v>39</v>
      </c>
      <c r="D21" s="5" t="s">
        <v>40</v>
      </c>
      <c r="E21" s="7" t="n">
        <v>1160</v>
      </c>
    </row>
    <row r="22" customFormat="false" ht="15" hidden="false" customHeight="false" outlineLevel="0" collapsed="false">
      <c r="A22" s="5" t="s">
        <v>63</v>
      </c>
      <c r="B22" s="6" t="n">
        <v>46217</v>
      </c>
      <c r="C22" s="5" t="s">
        <v>43</v>
      </c>
      <c r="D22" s="5" t="s">
        <v>48</v>
      </c>
      <c r="E22" s="7" t="n">
        <v>610</v>
      </c>
    </row>
    <row r="23" customFormat="false" ht="15" hidden="false" customHeight="false" outlineLevel="0" collapsed="false">
      <c r="A23" s="5" t="s">
        <v>64</v>
      </c>
      <c r="B23" s="6" t="n">
        <v>45944</v>
      </c>
      <c r="C23" s="5" t="s">
        <v>35</v>
      </c>
      <c r="D23" s="5" t="s">
        <v>33</v>
      </c>
      <c r="E23" s="7" t="n">
        <v>1210</v>
      </c>
    </row>
    <row r="24" customFormat="false" ht="15" hidden="false" customHeight="false" outlineLevel="0" collapsed="false">
      <c r="A24" s="5" t="s">
        <v>65</v>
      </c>
      <c r="B24" s="6" t="n">
        <v>45926</v>
      </c>
      <c r="C24" s="5" t="s">
        <v>32</v>
      </c>
      <c r="D24" s="5" t="s">
        <v>66</v>
      </c>
      <c r="E24" s="7" t="n">
        <v>600</v>
      </c>
    </row>
    <row r="25" customFormat="false" ht="15" hidden="false" customHeight="false" outlineLevel="0" collapsed="false">
      <c r="A25" s="5" t="s">
        <v>67</v>
      </c>
      <c r="B25" s="6" t="n">
        <v>45705</v>
      </c>
      <c r="C25" s="5" t="s">
        <v>54</v>
      </c>
      <c r="D25" s="5" t="s">
        <v>66</v>
      </c>
      <c r="E25" s="7" t="n">
        <v>930</v>
      </c>
    </row>
    <row r="26" customFormat="false" ht="15" hidden="false" customHeight="false" outlineLevel="0" collapsed="false">
      <c r="A26" s="5" t="s">
        <v>68</v>
      </c>
      <c r="B26" s="6" t="n">
        <v>45949</v>
      </c>
      <c r="C26" s="5" t="s">
        <v>32</v>
      </c>
      <c r="D26" s="5" t="s">
        <v>37</v>
      </c>
      <c r="E26" s="7" t="n">
        <v>1080</v>
      </c>
    </row>
    <row r="27" customFormat="false" ht="15" hidden="false" customHeight="false" outlineLevel="0" collapsed="false">
      <c r="A27" s="5" t="s">
        <v>69</v>
      </c>
      <c r="B27" s="6" t="n">
        <v>45685</v>
      </c>
      <c r="C27" s="5" t="s">
        <v>35</v>
      </c>
      <c r="D27" s="5" t="s">
        <v>37</v>
      </c>
      <c r="E27" s="7" t="n">
        <v>1030</v>
      </c>
    </row>
    <row r="28" customFormat="false" ht="15" hidden="false" customHeight="false" outlineLevel="0" collapsed="false">
      <c r="A28" s="5" t="s">
        <v>70</v>
      </c>
      <c r="B28" s="6" t="n">
        <v>45863</v>
      </c>
      <c r="C28" s="5" t="s">
        <v>71</v>
      </c>
      <c r="D28" s="5" t="s">
        <v>66</v>
      </c>
      <c r="E28" s="7" t="n">
        <v>450</v>
      </c>
    </row>
    <row r="29" customFormat="false" ht="15" hidden="false" customHeight="false" outlineLevel="0" collapsed="false">
      <c r="A29" s="5" t="s">
        <v>72</v>
      </c>
      <c r="B29" s="6" t="n">
        <v>45922</v>
      </c>
      <c r="C29" s="5" t="s">
        <v>35</v>
      </c>
      <c r="D29" s="5" t="s">
        <v>48</v>
      </c>
      <c r="E29" s="7" t="n">
        <v>940</v>
      </c>
    </row>
    <row r="30" customFormat="false" ht="15" hidden="false" customHeight="false" outlineLevel="0" collapsed="false">
      <c r="A30" s="5" t="s">
        <v>73</v>
      </c>
      <c r="B30" s="6" t="n">
        <v>46072</v>
      </c>
      <c r="C30" s="5" t="s">
        <v>46</v>
      </c>
      <c r="D30" s="5" t="s">
        <v>48</v>
      </c>
      <c r="E30" s="7" t="n">
        <v>1300</v>
      </c>
    </row>
    <row r="31" customFormat="false" ht="15" hidden="false" customHeight="false" outlineLevel="0" collapsed="false">
      <c r="A31" s="5" t="s">
        <v>74</v>
      </c>
      <c r="B31" s="6" t="n">
        <v>46052</v>
      </c>
      <c r="C31" s="5" t="s">
        <v>39</v>
      </c>
      <c r="D31" s="5" t="s">
        <v>33</v>
      </c>
      <c r="E31" s="7" t="n">
        <v>1090</v>
      </c>
    </row>
    <row r="32" customFormat="false" ht="15" hidden="false" customHeight="false" outlineLevel="0" collapsed="false">
      <c r="A32" s="5" t="s">
        <v>75</v>
      </c>
      <c r="B32" s="6" t="n">
        <v>45689</v>
      </c>
      <c r="C32" s="5" t="s">
        <v>35</v>
      </c>
      <c r="D32" s="5" t="s">
        <v>37</v>
      </c>
      <c r="E32" s="7" t="n">
        <v>340</v>
      </c>
    </row>
    <row r="33" customFormat="false" ht="15" hidden="false" customHeight="false" outlineLevel="0" collapsed="false">
      <c r="A33" s="5" t="s">
        <v>76</v>
      </c>
      <c r="B33" s="6" t="n">
        <v>46046</v>
      </c>
      <c r="C33" s="5" t="s">
        <v>46</v>
      </c>
      <c r="D33" s="5" t="s">
        <v>48</v>
      </c>
      <c r="E33" s="7" t="n">
        <v>1160</v>
      </c>
    </row>
    <row r="34" customFormat="false" ht="15" hidden="false" customHeight="false" outlineLevel="0" collapsed="false">
      <c r="A34" s="5" t="s">
        <v>77</v>
      </c>
      <c r="B34" s="6" t="n">
        <v>46212</v>
      </c>
      <c r="C34" s="5" t="s">
        <v>39</v>
      </c>
      <c r="D34" s="5" t="s">
        <v>40</v>
      </c>
      <c r="E34" s="7" t="n">
        <v>490</v>
      </c>
    </row>
    <row r="35" customFormat="false" ht="15" hidden="false" customHeight="false" outlineLevel="0" collapsed="false">
      <c r="A35" s="5" t="s">
        <v>78</v>
      </c>
      <c r="B35" s="6" t="n">
        <v>46061</v>
      </c>
      <c r="C35" s="5" t="s">
        <v>57</v>
      </c>
      <c r="D35" s="5" t="s">
        <v>40</v>
      </c>
      <c r="E35" s="7" t="n">
        <v>910</v>
      </c>
    </row>
    <row r="36" customFormat="false" ht="15" hidden="false" customHeight="false" outlineLevel="0" collapsed="false">
      <c r="A36" s="5" t="s">
        <v>79</v>
      </c>
      <c r="B36" s="6" t="n">
        <v>45742</v>
      </c>
      <c r="C36" s="5" t="s">
        <v>57</v>
      </c>
      <c r="D36" s="5" t="s">
        <v>66</v>
      </c>
      <c r="E36" s="7" t="n">
        <v>560</v>
      </c>
    </row>
    <row r="37" customFormat="false" ht="15" hidden="false" customHeight="false" outlineLevel="0" collapsed="false">
      <c r="A37" s="5" t="s">
        <v>80</v>
      </c>
      <c r="B37" s="6" t="n">
        <v>45842</v>
      </c>
      <c r="C37" s="5" t="s">
        <v>57</v>
      </c>
      <c r="D37" s="5" t="s">
        <v>37</v>
      </c>
      <c r="E37" s="7" t="n">
        <v>540</v>
      </c>
    </row>
    <row r="38" customFormat="false" ht="15" hidden="false" customHeight="false" outlineLevel="0" collapsed="false">
      <c r="A38" s="5" t="s">
        <v>81</v>
      </c>
      <c r="B38" s="6" t="n">
        <v>46295</v>
      </c>
      <c r="C38" s="5" t="s">
        <v>54</v>
      </c>
      <c r="D38" s="5" t="s">
        <v>44</v>
      </c>
      <c r="E38" s="7" t="n">
        <v>770</v>
      </c>
    </row>
    <row r="39" customFormat="false" ht="15" hidden="false" customHeight="false" outlineLevel="0" collapsed="false">
      <c r="A39" s="5" t="s">
        <v>82</v>
      </c>
      <c r="B39" s="6" t="n">
        <v>46007</v>
      </c>
      <c r="C39" s="5" t="s">
        <v>54</v>
      </c>
      <c r="D39" s="5" t="s">
        <v>44</v>
      </c>
      <c r="E39" s="7" t="n">
        <v>910</v>
      </c>
    </row>
    <row r="40" customFormat="false" ht="15" hidden="false" customHeight="false" outlineLevel="0" collapsed="false">
      <c r="A40" s="5" t="s">
        <v>83</v>
      </c>
      <c r="B40" s="6" t="n">
        <v>46026</v>
      </c>
      <c r="C40" s="5" t="s">
        <v>39</v>
      </c>
      <c r="D40" s="5" t="s">
        <v>44</v>
      </c>
      <c r="E40" s="7" t="n">
        <v>150</v>
      </c>
    </row>
    <row r="41" customFormat="false" ht="15" hidden="false" customHeight="false" outlineLevel="0" collapsed="false">
      <c r="A41" s="5" t="s">
        <v>84</v>
      </c>
      <c r="B41" s="6" t="n">
        <v>45883</v>
      </c>
      <c r="C41" s="5" t="s">
        <v>43</v>
      </c>
      <c r="D41" s="5" t="s">
        <v>37</v>
      </c>
      <c r="E41" s="7" t="n">
        <v>520</v>
      </c>
    </row>
    <row r="42" customFormat="false" ht="15" hidden="false" customHeight="false" outlineLevel="0" collapsed="false">
      <c r="A42" s="5" t="s">
        <v>85</v>
      </c>
      <c r="B42" s="6" t="n">
        <v>46056</v>
      </c>
      <c r="C42" s="5" t="s">
        <v>39</v>
      </c>
      <c r="D42" s="5" t="s">
        <v>40</v>
      </c>
      <c r="E42" s="7" t="n">
        <v>740</v>
      </c>
    </row>
    <row r="43" customFormat="false" ht="15" hidden="false" customHeight="false" outlineLevel="0" collapsed="false">
      <c r="A43" s="5" t="s">
        <v>86</v>
      </c>
      <c r="B43" s="6" t="n">
        <v>45708</v>
      </c>
      <c r="C43" s="5" t="s">
        <v>43</v>
      </c>
      <c r="D43" s="5" t="s">
        <v>66</v>
      </c>
      <c r="E43" s="7" t="n">
        <v>1150</v>
      </c>
    </row>
    <row r="44" customFormat="false" ht="15" hidden="false" customHeight="false" outlineLevel="0" collapsed="false">
      <c r="A44" s="5" t="s">
        <v>87</v>
      </c>
      <c r="B44" s="6" t="n">
        <v>45711</v>
      </c>
      <c r="C44" s="5" t="s">
        <v>46</v>
      </c>
      <c r="D44" s="5" t="s">
        <v>48</v>
      </c>
      <c r="E44" s="7" t="n">
        <v>710</v>
      </c>
    </row>
    <row r="45" customFormat="false" ht="15" hidden="false" customHeight="false" outlineLevel="0" collapsed="false">
      <c r="A45" s="5" t="s">
        <v>88</v>
      </c>
      <c r="B45" s="6" t="n">
        <v>45987</v>
      </c>
      <c r="C45" s="5" t="s">
        <v>71</v>
      </c>
      <c r="D45" s="5" t="s">
        <v>33</v>
      </c>
      <c r="E45" s="7" t="n">
        <v>170</v>
      </c>
    </row>
    <row r="46" customFormat="false" ht="15" hidden="false" customHeight="false" outlineLevel="0" collapsed="false">
      <c r="A46" s="5" t="s">
        <v>89</v>
      </c>
      <c r="B46" s="6" t="n">
        <v>45889</v>
      </c>
      <c r="C46" s="5" t="s">
        <v>71</v>
      </c>
      <c r="D46" s="5" t="s">
        <v>40</v>
      </c>
      <c r="E46" s="7" t="n">
        <v>760</v>
      </c>
    </row>
    <row r="47" customFormat="false" ht="15" hidden="false" customHeight="false" outlineLevel="0" collapsed="false">
      <c r="A47" s="5" t="s">
        <v>90</v>
      </c>
      <c r="B47" s="6" t="n">
        <v>46031</v>
      </c>
      <c r="C47" s="5" t="s">
        <v>71</v>
      </c>
      <c r="D47" s="5" t="s">
        <v>66</v>
      </c>
      <c r="E47" s="7" t="n">
        <v>690</v>
      </c>
    </row>
    <row r="48" customFormat="false" ht="15" hidden="false" customHeight="false" outlineLevel="0" collapsed="false">
      <c r="A48" s="5" t="s">
        <v>91</v>
      </c>
      <c r="B48" s="6" t="n">
        <v>45809</v>
      </c>
      <c r="C48" s="5" t="s">
        <v>71</v>
      </c>
      <c r="D48" s="5" t="s">
        <v>66</v>
      </c>
      <c r="E48" s="7" t="n">
        <v>560</v>
      </c>
    </row>
    <row r="49" customFormat="false" ht="15" hidden="false" customHeight="false" outlineLevel="0" collapsed="false">
      <c r="A49" s="5" t="s">
        <v>92</v>
      </c>
      <c r="B49" s="6" t="n">
        <v>46045</v>
      </c>
      <c r="C49" s="5" t="s">
        <v>35</v>
      </c>
      <c r="D49" s="5" t="s">
        <v>37</v>
      </c>
      <c r="E49" s="7" t="n">
        <v>1160</v>
      </c>
    </row>
    <row r="50" customFormat="false" ht="15" hidden="false" customHeight="false" outlineLevel="0" collapsed="false">
      <c r="A50" s="5" t="s">
        <v>93</v>
      </c>
      <c r="B50" s="6" t="n">
        <v>46046</v>
      </c>
      <c r="C50" s="5" t="s">
        <v>71</v>
      </c>
      <c r="D50" s="5" t="s">
        <v>33</v>
      </c>
      <c r="E50" s="7" t="n">
        <v>1130</v>
      </c>
    </row>
    <row r="51" customFormat="false" ht="15" hidden="false" customHeight="false" outlineLevel="0" collapsed="false">
      <c r="A51" s="5" t="s">
        <v>94</v>
      </c>
      <c r="B51" s="6" t="n">
        <v>45868</v>
      </c>
      <c r="C51" s="5" t="s">
        <v>46</v>
      </c>
      <c r="D51" s="5" t="s">
        <v>40</v>
      </c>
      <c r="E51" s="7" t="n">
        <v>1150</v>
      </c>
    </row>
    <row r="52" customFormat="false" ht="15" hidden="false" customHeight="false" outlineLevel="0" collapsed="false">
      <c r="A52" s="5" t="s">
        <v>95</v>
      </c>
      <c r="B52" s="6" t="n">
        <v>46025</v>
      </c>
      <c r="C52" s="5" t="s">
        <v>71</v>
      </c>
      <c r="D52" s="5" t="s">
        <v>48</v>
      </c>
      <c r="E52" s="7" t="n">
        <v>1260</v>
      </c>
    </row>
    <row r="53" customFormat="false" ht="15" hidden="false" customHeight="false" outlineLevel="0" collapsed="false">
      <c r="A53" s="5" t="s">
        <v>96</v>
      </c>
      <c r="B53" s="6" t="n">
        <v>45683</v>
      </c>
      <c r="C53" s="5" t="s">
        <v>71</v>
      </c>
      <c r="D53" s="5" t="s">
        <v>40</v>
      </c>
      <c r="E53" s="7" t="n">
        <v>1270</v>
      </c>
    </row>
    <row r="54" customFormat="false" ht="15" hidden="false" customHeight="false" outlineLevel="0" collapsed="false">
      <c r="A54" s="5" t="s">
        <v>97</v>
      </c>
      <c r="B54" s="6" t="n">
        <v>45825</v>
      </c>
      <c r="C54" s="5" t="s">
        <v>35</v>
      </c>
      <c r="D54" s="5" t="s">
        <v>44</v>
      </c>
      <c r="E54" s="7" t="n">
        <v>400</v>
      </c>
    </row>
    <row r="55" customFormat="false" ht="15" hidden="false" customHeight="false" outlineLevel="0" collapsed="false">
      <c r="A55" s="5" t="s">
        <v>98</v>
      </c>
      <c r="B55" s="6" t="n">
        <v>45977</v>
      </c>
      <c r="C55" s="5" t="s">
        <v>71</v>
      </c>
      <c r="D55" s="5" t="s">
        <v>40</v>
      </c>
      <c r="E55" s="7" t="n">
        <v>1140</v>
      </c>
    </row>
    <row r="56" customFormat="false" ht="15" hidden="false" customHeight="false" outlineLevel="0" collapsed="false">
      <c r="A56" s="5" t="s">
        <v>99</v>
      </c>
      <c r="B56" s="6" t="n">
        <v>46207</v>
      </c>
      <c r="C56" s="5" t="s">
        <v>57</v>
      </c>
      <c r="D56" s="5" t="s">
        <v>33</v>
      </c>
      <c r="E56" s="7" t="n">
        <v>780</v>
      </c>
    </row>
    <row r="57" customFormat="false" ht="15" hidden="false" customHeight="false" outlineLevel="0" collapsed="false">
      <c r="A57" s="5" t="s">
        <v>100</v>
      </c>
      <c r="B57" s="6" t="n">
        <v>45787</v>
      </c>
      <c r="C57" s="5" t="s">
        <v>57</v>
      </c>
      <c r="D57" s="5" t="s">
        <v>48</v>
      </c>
      <c r="E57" s="7" t="n">
        <v>980</v>
      </c>
    </row>
    <row r="58" customFormat="false" ht="15" hidden="false" customHeight="false" outlineLevel="0" collapsed="false">
      <c r="A58" s="5" t="s">
        <v>101</v>
      </c>
      <c r="B58" s="6" t="n">
        <v>46022</v>
      </c>
      <c r="C58" s="5" t="s">
        <v>32</v>
      </c>
      <c r="D58" s="5" t="s">
        <v>37</v>
      </c>
      <c r="E58" s="7" t="n">
        <v>740</v>
      </c>
    </row>
    <row r="59" customFormat="false" ht="15" hidden="false" customHeight="false" outlineLevel="0" collapsed="false">
      <c r="A59" s="5" t="s">
        <v>102</v>
      </c>
      <c r="B59" s="6" t="n">
        <v>45816</v>
      </c>
      <c r="C59" s="5" t="s">
        <v>35</v>
      </c>
      <c r="D59" s="5" t="s">
        <v>37</v>
      </c>
      <c r="E59" s="7" t="n">
        <v>170</v>
      </c>
    </row>
    <row r="60" customFormat="false" ht="15" hidden="false" customHeight="false" outlineLevel="0" collapsed="false">
      <c r="A60" s="5" t="s">
        <v>103</v>
      </c>
      <c r="B60" s="6" t="n">
        <v>46073</v>
      </c>
      <c r="C60" s="5" t="s">
        <v>57</v>
      </c>
      <c r="D60" s="5" t="s">
        <v>37</v>
      </c>
      <c r="E60" s="7" t="n">
        <v>850</v>
      </c>
    </row>
    <row r="61" customFormat="false" ht="15" hidden="false" customHeight="false" outlineLevel="0" collapsed="false">
      <c r="A61" s="5" t="s">
        <v>104</v>
      </c>
      <c r="B61" s="6" t="n">
        <v>45768</v>
      </c>
      <c r="C61" s="5" t="s">
        <v>54</v>
      </c>
      <c r="D61" s="5" t="s">
        <v>33</v>
      </c>
      <c r="E61" s="7" t="n">
        <v>440</v>
      </c>
    </row>
    <row r="62" customFormat="false" ht="15" hidden="false" customHeight="false" outlineLevel="0" collapsed="false">
      <c r="A62" s="5" t="s">
        <v>105</v>
      </c>
      <c r="B62" s="6" t="n">
        <v>45773</v>
      </c>
      <c r="C62" s="5" t="s">
        <v>35</v>
      </c>
      <c r="D62" s="5" t="s">
        <v>44</v>
      </c>
      <c r="E62" s="7" t="n">
        <v>180</v>
      </c>
    </row>
    <row r="63" customFormat="false" ht="15" hidden="false" customHeight="false" outlineLevel="0" collapsed="false">
      <c r="A63" s="5" t="s">
        <v>106</v>
      </c>
      <c r="B63" s="6" t="n">
        <v>46144</v>
      </c>
      <c r="C63" s="5" t="s">
        <v>35</v>
      </c>
      <c r="D63" s="5" t="s">
        <v>48</v>
      </c>
      <c r="E63" s="7" t="n">
        <v>900</v>
      </c>
    </row>
    <row r="64" customFormat="false" ht="15" hidden="false" customHeight="false" outlineLevel="0" collapsed="false">
      <c r="A64" s="5" t="s">
        <v>107</v>
      </c>
      <c r="B64" s="6" t="n">
        <v>45981</v>
      </c>
      <c r="C64" s="5" t="s">
        <v>39</v>
      </c>
      <c r="D64" s="5" t="s">
        <v>66</v>
      </c>
      <c r="E64" s="7" t="n">
        <v>840</v>
      </c>
    </row>
    <row r="65" customFormat="false" ht="15" hidden="false" customHeight="false" outlineLevel="0" collapsed="false">
      <c r="A65" s="5" t="s">
        <v>108</v>
      </c>
      <c r="B65" s="6" t="n">
        <v>45718</v>
      </c>
      <c r="C65" s="5" t="s">
        <v>57</v>
      </c>
      <c r="D65" s="5" t="s">
        <v>37</v>
      </c>
      <c r="E65" s="7" t="n">
        <v>580</v>
      </c>
    </row>
    <row r="66" customFormat="false" ht="15" hidden="false" customHeight="false" outlineLevel="0" collapsed="false">
      <c r="A66" s="5" t="s">
        <v>109</v>
      </c>
      <c r="B66" s="6" t="n">
        <v>45797</v>
      </c>
      <c r="C66" s="5" t="s">
        <v>71</v>
      </c>
      <c r="D66" s="5" t="s">
        <v>44</v>
      </c>
      <c r="E66" s="7" t="n">
        <v>910</v>
      </c>
    </row>
    <row r="67" customFormat="false" ht="15" hidden="false" customHeight="false" outlineLevel="0" collapsed="false">
      <c r="A67" s="5" t="s">
        <v>110</v>
      </c>
      <c r="B67" s="6" t="n">
        <v>46104</v>
      </c>
      <c r="C67" s="5" t="s">
        <v>43</v>
      </c>
      <c r="D67" s="5" t="s">
        <v>40</v>
      </c>
      <c r="E67" s="7" t="n">
        <v>760</v>
      </c>
    </row>
    <row r="68" customFormat="false" ht="15" hidden="false" customHeight="false" outlineLevel="0" collapsed="false">
      <c r="A68" s="5" t="s">
        <v>111</v>
      </c>
      <c r="B68" s="6" t="n">
        <v>46154</v>
      </c>
      <c r="C68" s="5" t="s">
        <v>39</v>
      </c>
      <c r="D68" s="5" t="s">
        <v>33</v>
      </c>
      <c r="E68" s="7" t="n">
        <v>630</v>
      </c>
    </row>
    <row r="69" customFormat="false" ht="15" hidden="false" customHeight="false" outlineLevel="0" collapsed="false">
      <c r="A69" s="5" t="s">
        <v>112</v>
      </c>
      <c r="B69" s="6" t="n">
        <v>46052</v>
      </c>
      <c r="C69" s="5" t="s">
        <v>39</v>
      </c>
      <c r="D69" s="5" t="s">
        <v>44</v>
      </c>
      <c r="E69" s="7" t="n">
        <v>580</v>
      </c>
    </row>
    <row r="70" customFormat="false" ht="15" hidden="false" customHeight="false" outlineLevel="0" collapsed="false">
      <c r="A70" s="5" t="s">
        <v>113</v>
      </c>
      <c r="B70" s="6" t="n">
        <v>46108</v>
      </c>
      <c r="C70" s="5" t="s">
        <v>54</v>
      </c>
      <c r="D70" s="5" t="s">
        <v>48</v>
      </c>
      <c r="E70" s="7" t="n">
        <v>1360</v>
      </c>
    </row>
    <row r="71" customFormat="false" ht="15" hidden="false" customHeight="false" outlineLevel="0" collapsed="false">
      <c r="A71" s="5" t="s">
        <v>114</v>
      </c>
      <c r="B71" s="6" t="n">
        <v>46258</v>
      </c>
      <c r="C71" s="5" t="s">
        <v>39</v>
      </c>
      <c r="D71" s="5" t="s">
        <v>66</v>
      </c>
      <c r="E71" s="7" t="n">
        <v>300</v>
      </c>
    </row>
    <row r="72" customFormat="false" ht="15" hidden="false" customHeight="false" outlineLevel="0" collapsed="false">
      <c r="A72" s="5" t="s">
        <v>115</v>
      </c>
      <c r="B72" s="6" t="n">
        <v>46293</v>
      </c>
      <c r="C72" s="5" t="s">
        <v>39</v>
      </c>
      <c r="D72" s="5" t="s">
        <v>48</v>
      </c>
      <c r="E72" s="7" t="n">
        <v>910</v>
      </c>
    </row>
    <row r="73" customFormat="false" ht="15" hidden="false" customHeight="false" outlineLevel="0" collapsed="false">
      <c r="A73" s="5" t="s">
        <v>116</v>
      </c>
      <c r="B73" s="6" t="n">
        <v>46021</v>
      </c>
      <c r="C73" s="5" t="s">
        <v>46</v>
      </c>
      <c r="D73" s="5" t="s">
        <v>33</v>
      </c>
      <c r="E73" s="7" t="n">
        <v>620</v>
      </c>
    </row>
    <row r="74" customFormat="false" ht="15" hidden="false" customHeight="false" outlineLevel="0" collapsed="false">
      <c r="A74" s="5" t="s">
        <v>117</v>
      </c>
      <c r="B74" s="6" t="n">
        <v>46067</v>
      </c>
      <c r="C74" s="5" t="s">
        <v>32</v>
      </c>
      <c r="D74" s="5" t="s">
        <v>44</v>
      </c>
      <c r="E74" s="7" t="n">
        <v>940</v>
      </c>
    </row>
    <row r="75" customFormat="false" ht="15" hidden="false" customHeight="false" outlineLevel="0" collapsed="false">
      <c r="A75" s="5" t="s">
        <v>118</v>
      </c>
      <c r="B75" s="6" t="n">
        <v>45803</v>
      </c>
      <c r="C75" s="5" t="s">
        <v>39</v>
      </c>
      <c r="D75" s="5" t="s">
        <v>48</v>
      </c>
      <c r="E75" s="7" t="n">
        <v>1240</v>
      </c>
    </row>
    <row r="76" customFormat="false" ht="15" hidden="false" customHeight="false" outlineLevel="0" collapsed="false">
      <c r="A76" s="5" t="s">
        <v>119</v>
      </c>
      <c r="B76" s="6" t="n">
        <v>45701</v>
      </c>
      <c r="C76" s="5" t="s">
        <v>39</v>
      </c>
      <c r="D76" s="5" t="s">
        <v>37</v>
      </c>
      <c r="E76" s="7" t="n">
        <v>650</v>
      </c>
    </row>
    <row r="77" customFormat="false" ht="15" hidden="false" customHeight="false" outlineLevel="0" collapsed="false">
      <c r="A77" s="5" t="s">
        <v>120</v>
      </c>
      <c r="B77" s="6" t="n">
        <v>45914</v>
      </c>
      <c r="C77" s="5" t="s">
        <v>57</v>
      </c>
      <c r="D77" s="5" t="s">
        <v>37</v>
      </c>
      <c r="E77" s="7" t="n">
        <v>270</v>
      </c>
    </row>
    <row r="78" customFormat="false" ht="15" hidden="false" customHeight="false" outlineLevel="0" collapsed="false">
      <c r="A78" s="5" t="s">
        <v>121</v>
      </c>
      <c r="B78" s="6" t="n">
        <v>46106</v>
      </c>
      <c r="C78" s="5" t="s">
        <v>57</v>
      </c>
      <c r="D78" s="5" t="s">
        <v>37</v>
      </c>
      <c r="E78" s="7" t="n">
        <v>360</v>
      </c>
    </row>
    <row r="79" customFormat="false" ht="15" hidden="false" customHeight="false" outlineLevel="0" collapsed="false">
      <c r="A79" s="5" t="s">
        <v>122</v>
      </c>
      <c r="B79" s="6" t="n">
        <v>45858</v>
      </c>
      <c r="C79" s="5" t="s">
        <v>57</v>
      </c>
      <c r="D79" s="5" t="s">
        <v>37</v>
      </c>
      <c r="E79" s="7" t="n">
        <v>390</v>
      </c>
    </row>
    <row r="80" customFormat="false" ht="15" hidden="false" customHeight="false" outlineLevel="0" collapsed="false">
      <c r="A80" s="5" t="s">
        <v>123</v>
      </c>
      <c r="B80" s="6" t="n">
        <v>45845</v>
      </c>
      <c r="C80" s="5" t="s">
        <v>57</v>
      </c>
      <c r="D80" s="5" t="s">
        <v>37</v>
      </c>
      <c r="E80" s="7" t="n">
        <v>900</v>
      </c>
    </row>
    <row r="81" customFormat="false" ht="15" hidden="false" customHeight="false" outlineLevel="0" collapsed="false">
      <c r="A81" s="5" t="s">
        <v>124</v>
      </c>
      <c r="B81" s="6" t="n">
        <v>46153</v>
      </c>
      <c r="C81" s="5" t="s">
        <v>71</v>
      </c>
      <c r="D81" s="5" t="s">
        <v>66</v>
      </c>
      <c r="E81" s="7" t="n">
        <v>1340</v>
      </c>
    </row>
    <row r="82" customFormat="false" ht="15" hidden="false" customHeight="false" outlineLevel="0" collapsed="false">
      <c r="A82" s="5" t="s">
        <v>125</v>
      </c>
      <c r="B82" s="6" t="n">
        <v>45859</v>
      </c>
      <c r="C82" s="5" t="s">
        <v>32</v>
      </c>
      <c r="D82" s="5" t="s">
        <v>66</v>
      </c>
      <c r="E82" s="7" t="n">
        <v>490</v>
      </c>
    </row>
    <row r="83" customFormat="false" ht="15" hidden="false" customHeight="false" outlineLevel="0" collapsed="false">
      <c r="A83" s="5" t="s">
        <v>126</v>
      </c>
      <c r="B83" s="6" t="n">
        <v>46288</v>
      </c>
      <c r="C83" s="5" t="s">
        <v>32</v>
      </c>
      <c r="D83" s="5" t="s">
        <v>48</v>
      </c>
      <c r="E83" s="7" t="n">
        <v>990</v>
      </c>
    </row>
    <row r="84" customFormat="false" ht="15" hidden="false" customHeight="false" outlineLevel="0" collapsed="false">
      <c r="A84" s="5" t="s">
        <v>127</v>
      </c>
      <c r="B84" s="6" t="n">
        <v>45734</v>
      </c>
      <c r="C84" s="5" t="s">
        <v>46</v>
      </c>
      <c r="D84" s="5" t="s">
        <v>33</v>
      </c>
      <c r="E84" s="7" t="n">
        <v>180</v>
      </c>
    </row>
    <row r="85" customFormat="false" ht="15" hidden="false" customHeight="false" outlineLevel="0" collapsed="false">
      <c r="A85" s="5" t="s">
        <v>128</v>
      </c>
      <c r="B85" s="6" t="n">
        <v>46190</v>
      </c>
      <c r="C85" s="5" t="s">
        <v>71</v>
      </c>
      <c r="D85" s="5" t="s">
        <v>66</v>
      </c>
      <c r="E85" s="7" t="n">
        <v>1030</v>
      </c>
    </row>
    <row r="86" customFormat="false" ht="15" hidden="false" customHeight="false" outlineLevel="0" collapsed="false">
      <c r="A86" s="5" t="s">
        <v>129</v>
      </c>
      <c r="B86" s="6" t="n">
        <v>46081</v>
      </c>
      <c r="C86" s="5" t="s">
        <v>39</v>
      </c>
      <c r="D86" s="5" t="s">
        <v>40</v>
      </c>
      <c r="E86" s="7" t="n">
        <v>690</v>
      </c>
    </row>
    <row r="87" customFormat="false" ht="15" hidden="false" customHeight="false" outlineLevel="0" collapsed="false">
      <c r="A87" s="5" t="s">
        <v>130</v>
      </c>
      <c r="B87" s="6" t="n">
        <v>45972</v>
      </c>
      <c r="C87" s="5" t="s">
        <v>35</v>
      </c>
      <c r="D87" s="5" t="s">
        <v>66</v>
      </c>
      <c r="E87" s="7" t="n">
        <v>820</v>
      </c>
    </row>
    <row r="88" customFormat="false" ht="15" hidden="false" customHeight="false" outlineLevel="0" collapsed="false">
      <c r="A88" s="5" t="s">
        <v>131</v>
      </c>
      <c r="B88" s="6" t="n">
        <v>46182</v>
      </c>
      <c r="C88" s="5" t="s">
        <v>43</v>
      </c>
      <c r="D88" s="5" t="s">
        <v>44</v>
      </c>
      <c r="E88" s="7" t="n">
        <v>630</v>
      </c>
    </row>
    <row r="89" customFormat="false" ht="15" hidden="false" customHeight="false" outlineLevel="0" collapsed="false">
      <c r="A89" s="5" t="s">
        <v>132</v>
      </c>
      <c r="B89" s="6" t="n">
        <v>45891</v>
      </c>
      <c r="C89" s="5" t="s">
        <v>57</v>
      </c>
      <c r="D89" s="5" t="s">
        <v>40</v>
      </c>
      <c r="E89" s="7" t="n">
        <v>1220</v>
      </c>
    </row>
    <row r="90" customFormat="false" ht="15" hidden="false" customHeight="false" outlineLevel="0" collapsed="false">
      <c r="A90" s="5" t="s">
        <v>133</v>
      </c>
      <c r="B90" s="6" t="n">
        <v>45851</v>
      </c>
      <c r="C90" s="5" t="s">
        <v>71</v>
      </c>
      <c r="D90" s="5" t="s">
        <v>48</v>
      </c>
      <c r="E90" s="7" t="n">
        <v>1150</v>
      </c>
    </row>
    <row r="91" customFormat="false" ht="15" hidden="false" customHeight="false" outlineLevel="0" collapsed="false">
      <c r="A91" s="5" t="s">
        <v>134</v>
      </c>
      <c r="B91" s="6" t="n">
        <v>46204</v>
      </c>
      <c r="C91" s="5" t="s">
        <v>57</v>
      </c>
      <c r="D91" s="5" t="s">
        <v>40</v>
      </c>
      <c r="E91" s="7" t="n">
        <v>190</v>
      </c>
    </row>
    <row r="92" customFormat="false" ht="15" hidden="false" customHeight="false" outlineLevel="0" collapsed="false">
      <c r="A92" s="5" t="s">
        <v>135</v>
      </c>
      <c r="B92" s="6" t="n">
        <v>45847</v>
      </c>
      <c r="C92" s="5" t="s">
        <v>57</v>
      </c>
      <c r="D92" s="5" t="s">
        <v>66</v>
      </c>
      <c r="E92" s="7" t="n">
        <v>810</v>
      </c>
    </row>
    <row r="93" customFormat="false" ht="15" hidden="false" customHeight="false" outlineLevel="0" collapsed="false">
      <c r="A93" s="5" t="s">
        <v>136</v>
      </c>
      <c r="B93" s="6" t="n">
        <v>46163</v>
      </c>
      <c r="C93" s="5" t="s">
        <v>35</v>
      </c>
      <c r="D93" s="5" t="s">
        <v>66</v>
      </c>
      <c r="E93" s="7" t="n">
        <v>170</v>
      </c>
    </row>
    <row r="94" customFormat="false" ht="15" hidden="false" customHeight="false" outlineLevel="0" collapsed="false">
      <c r="A94" s="5" t="s">
        <v>137</v>
      </c>
      <c r="B94" s="6" t="n">
        <v>46192</v>
      </c>
      <c r="C94" s="5" t="s">
        <v>46</v>
      </c>
      <c r="D94" s="5" t="s">
        <v>44</v>
      </c>
      <c r="E94" s="7" t="n">
        <v>840</v>
      </c>
    </row>
    <row r="95" customFormat="false" ht="15" hidden="false" customHeight="false" outlineLevel="0" collapsed="false">
      <c r="A95" s="5" t="s">
        <v>138</v>
      </c>
      <c r="B95" s="6" t="n">
        <v>46174</v>
      </c>
      <c r="C95" s="5" t="s">
        <v>46</v>
      </c>
      <c r="D95" s="5" t="s">
        <v>48</v>
      </c>
      <c r="E95" s="7" t="n">
        <v>1230</v>
      </c>
    </row>
    <row r="96" customFormat="false" ht="15" hidden="false" customHeight="false" outlineLevel="0" collapsed="false">
      <c r="A96" s="5" t="s">
        <v>139</v>
      </c>
      <c r="B96" s="6" t="n">
        <v>45732</v>
      </c>
      <c r="C96" s="5" t="s">
        <v>54</v>
      </c>
      <c r="D96" s="5" t="s">
        <v>44</v>
      </c>
      <c r="E96" s="7" t="n">
        <v>1160</v>
      </c>
    </row>
    <row r="97" customFormat="false" ht="15" hidden="false" customHeight="false" outlineLevel="0" collapsed="false">
      <c r="A97" s="5" t="s">
        <v>140</v>
      </c>
      <c r="B97" s="6" t="n">
        <v>46075</v>
      </c>
      <c r="C97" s="5" t="s">
        <v>71</v>
      </c>
      <c r="D97" s="5" t="s">
        <v>33</v>
      </c>
      <c r="E97" s="7" t="n">
        <v>530</v>
      </c>
    </row>
    <row r="98" customFormat="false" ht="15" hidden="false" customHeight="false" outlineLevel="0" collapsed="false">
      <c r="A98" s="5" t="s">
        <v>141</v>
      </c>
      <c r="B98" s="6" t="n">
        <v>45704</v>
      </c>
      <c r="C98" s="5" t="s">
        <v>46</v>
      </c>
      <c r="D98" s="5" t="s">
        <v>48</v>
      </c>
      <c r="E98" s="7" t="n">
        <v>1140</v>
      </c>
    </row>
    <row r="99" customFormat="false" ht="15" hidden="false" customHeight="false" outlineLevel="0" collapsed="false">
      <c r="A99" s="5" t="s">
        <v>142</v>
      </c>
      <c r="B99" s="6" t="n">
        <v>45742</v>
      </c>
      <c r="C99" s="5" t="s">
        <v>39</v>
      </c>
      <c r="D99" s="5" t="s">
        <v>37</v>
      </c>
      <c r="E99" s="7" t="n">
        <v>590</v>
      </c>
    </row>
    <row r="100" customFormat="false" ht="15" hidden="false" customHeight="false" outlineLevel="0" collapsed="false">
      <c r="A100" s="5" t="s">
        <v>143</v>
      </c>
      <c r="B100" s="6" t="n">
        <v>45811</v>
      </c>
      <c r="C100" s="5" t="s">
        <v>57</v>
      </c>
      <c r="D100" s="5" t="s">
        <v>40</v>
      </c>
      <c r="E100" s="7" t="n">
        <v>920</v>
      </c>
    </row>
    <row r="101" customFormat="false" ht="15" hidden="false" customHeight="false" outlineLevel="0" collapsed="false">
      <c r="A101" s="5" t="s">
        <v>144</v>
      </c>
      <c r="B101" s="6" t="n">
        <v>46019</v>
      </c>
      <c r="C101" s="5" t="s">
        <v>54</v>
      </c>
      <c r="D101" s="5" t="s">
        <v>40</v>
      </c>
      <c r="E101" s="7" t="n">
        <v>1200</v>
      </c>
    </row>
    <row r="102" customFormat="false" ht="15" hidden="false" customHeight="false" outlineLevel="0" collapsed="false">
      <c r="A102" s="5" t="s">
        <v>145</v>
      </c>
      <c r="B102" s="6" t="n">
        <v>46127</v>
      </c>
      <c r="C102" s="5" t="s">
        <v>35</v>
      </c>
      <c r="D102" s="5" t="s">
        <v>37</v>
      </c>
      <c r="E102" s="7" t="n">
        <v>510</v>
      </c>
    </row>
    <row r="103" customFormat="false" ht="15" hidden="false" customHeight="false" outlineLevel="0" collapsed="false">
      <c r="A103" s="5" t="s">
        <v>146</v>
      </c>
      <c r="B103" s="6" t="n">
        <v>45668</v>
      </c>
      <c r="C103" s="5" t="s">
        <v>39</v>
      </c>
      <c r="D103" s="5" t="s">
        <v>40</v>
      </c>
      <c r="E103" s="7" t="n">
        <v>1110</v>
      </c>
    </row>
    <row r="104" customFormat="false" ht="15" hidden="false" customHeight="false" outlineLevel="0" collapsed="false">
      <c r="A104" s="5" t="s">
        <v>147</v>
      </c>
      <c r="B104" s="6" t="n">
        <v>45679</v>
      </c>
      <c r="C104" s="5" t="s">
        <v>46</v>
      </c>
      <c r="D104" s="5" t="s">
        <v>40</v>
      </c>
      <c r="E104" s="7" t="n">
        <v>1370</v>
      </c>
    </row>
    <row r="105" customFormat="false" ht="15" hidden="false" customHeight="false" outlineLevel="0" collapsed="false">
      <c r="A105" s="5" t="s">
        <v>148</v>
      </c>
      <c r="B105" s="6" t="n">
        <v>46038</v>
      </c>
      <c r="C105" s="5" t="s">
        <v>71</v>
      </c>
      <c r="D105" s="5" t="s">
        <v>44</v>
      </c>
      <c r="E105" s="7" t="n">
        <v>770</v>
      </c>
    </row>
    <row r="106" customFormat="false" ht="15" hidden="false" customHeight="false" outlineLevel="0" collapsed="false">
      <c r="A106" s="5" t="s">
        <v>149</v>
      </c>
      <c r="B106" s="6" t="n">
        <v>46209</v>
      </c>
      <c r="C106" s="5" t="s">
        <v>39</v>
      </c>
      <c r="D106" s="5" t="s">
        <v>44</v>
      </c>
      <c r="E106" s="7" t="n">
        <v>530</v>
      </c>
    </row>
    <row r="107" customFormat="false" ht="15" hidden="false" customHeight="false" outlineLevel="0" collapsed="false">
      <c r="A107" s="5" t="s">
        <v>150</v>
      </c>
      <c r="B107" s="6" t="n">
        <v>46230</v>
      </c>
      <c r="C107" s="5" t="s">
        <v>35</v>
      </c>
      <c r="D107" s="5" t="s">
        <v>33</v>
      </c>
      <c r="E107" s="7" t="n">
        <v>1260</v>
      </c>
    </row>
    <row r="108" customFormat="false" ht="15" hidden="false" customHeight="false" outlineLevel="0" collapsed="false">
      <c r="A108" s="5" t="s">
        <v>151</v>
      </c>
      <c r="B108" s="6" t="n">
        <v>46216</v>
      </c>
      <c r="C108" s="5" t="s">
        <v>35</v>
      </c>
      <c r="D108" s="5" t="s">
        <v>33</v>
      </c>
      <c r="E108" s="7" t="n">
        <v>1340</v>
      </c>
    </row>
    <row r="109" customFormat="false" ht="15" hidden="false" customHeight="false" outlineLevel="0" collapsed="false">
      <c r="A109" s="5" t="s">
        <v>152</v>
      </c>
      <c r="B109" s="6" t="n">
        <v>46099</v>
      </c>
      <c r="C109" s="5" t="s">
        <v>57</v>
      </c>
      <c r="D109" s="5" t="s">
        <v>44</v>
      </c>
      <c r="E109" s="7" t="n">
        <v>370</v>
      </c>
    </row>
    <row r="110" customFormat="false" ht="15" hidden="false" customHeight="false" outlineLevel="0" collapsed="false">
      <c r="A110" s="5" t="s">
        <v>153</v>
      </c>
      <c r="B110" s="6" t="n">
        <v>46040</v>
      </c>
      <c r="C110" s="5" t="s">
        <v>35</v>
      </c>
      <c r="D110" s="5" t="s">
        <v>66</v>
      </c>
      <c r="E110" s="7" t="n">
        <v>1310</v>
      </c>
    </row>
    <row r="111" customFormat="false" ht="15" hidden="false" customHeight="false" outlineLevel="0" collapsed="false">
      <c r="A111" s="5" t="s">
        <v>154</v>
      </c>
      <c r="B111" s="6" t="n">
        <v>46149</v>
      </c>
      <c r="C111" s="5" t="s">
        <v>35</v>
      </c>
      <c r="D111" s="5" t="s">
        <v>37</v>
      </c>
      <c r="E111" s="7" t="n">
        <v>990</v>
      </c>
    </row>
    <row r="112" customFormat="false" ht="15" hidden="false" customHeight="false" outlineLevel="0" collapsed="false">
      <c r="A112" s="5" t="s">
        <v>155</v>
      </c>
      <c r="B112" s="6" t="n">
        <v>46163</v>
      </c>
      <c r="C112" s="5" t="s">
        <v>57</v>
      </c>
      <c r="D112" s="5" t="s">
        <v>44</v>
      </c>
      <c r="E112" s="7" t="n">
        <v>760</v>
      </c>
    </row>
    <row r="113" customFormat="false" ht="15" hidden="false" customHeight="false" outlineLevel="0" collapsed="false">
      <c r="A113" s="5" t="s">
        <v>156</v>
      </c>
      <c r="B113" s="6" t="n">
        <v>46057</v>
      </c>
      <c r="C113" s="5" t="s">
        <v>43</v>
      </c>
      <c r="D113" s="5" t="s">
        <v>37</v>
      </c>
      <c r="E113" s="7" t="n">
        <v>830</v>
      </c>
    </row>
    <row r="114" customFormat="false" ht="15" hidden="false" customHeight="false" outlineLevel="0" collapsed="false">
      <c r="A114" s="5" t="s">
        <v>157</v>
      </c>
      <c r="B114" s="6" t="n">
        <v>46200</v>
      </c>
      <c r="C114" s="5" t="s">
        <v>54</v>
      </c>
      <c r="D114" s="5" t="s">
        <v>48</v>
      </c>
      <c r="E114" s="7" t="n">
        <v>360</v>
      </c>
    </row>
    <row r="115" customFormat="false" ht="15" hidden="false" customHeight="false" outlineLevel="0" collapsed="false">
      <c r="A115" s="5" t="s">
        <v>158</v>
      </c>
      <c r="B115" s="6" t="n">
        <v>46079</v>
      </c>
      <c r="C115" s="5" t="s">
        <v>32</v>
      </c>
      <c r="D115" s="5" t="s">
        <v>40</v>
      </c>
      <c r="E115" s="7" t="n">
        <v>400</v>
      </c>
    </row>
    <row r="116" customFormat="false" ht="15" hidden="false" customHeight="false" outlineLevel="0" collapsed="false">
      <c r="A116" s="5" t="s">
        <v>159</v>
      </c>
      <c r="B116" s="6" t="n">
        <v>46138</v>
      </c>
      <c r="C116" s="5" t="s">
        <v>71</v>
      </c>
      <c r="D116" s="5" t="s">
        <v>48</v>
      </c>
      <c r="E116" s="7" t="n">
        <v>560</v>
      </c>
    </row>
    <row r="117" customFormat="false" ht="15" hidden="false" customHeight="false" outlineLevel="0" collapsed="false">
      <c r="A117" s="5" t="s">
        <v>160</v>
      </c>
      <c r="B117" s="6" t="n">
        <v>45863</v>
      </c>
      <c r="C117" s="5" t="s">
        <v>57</v>
      </c>
      <c r="D117" s="5" t="s">
        <v>66</v>
      </c>
      <c r="E117" s="7" t="n">
        <v>650</v>
      </c>
    </row>
    <row r="118" customFormat="false" ht="15" hidden="false" customHeight="false" outlineLevel="0" collapsed="false">
      <c r="A118" s="5" t="s">
        <v>161</v>
      </c>
      <c r="B118" s="6" t="n">
        <v>45744</v>
      </c>
      <c r="C118" s="5" t="s">
        <v>54</v>
      </c>
      <c r="D118" s="5" t="s">
        <v>37</v>
      </c>
      <c r="E118" s="7" t="n">
        <v>330</v>
      </c>
    </row>
    <row r="119" customFormat="false" ht="15" hidden="false" customHeight="false" outlineLevel="0" collapsed="false">
      <c r="A119" s="5" t="s">
        <v>162</v>
      </c>
      <c r="B119" s="6" t="n">
        <v>46259</v>
      </c>
      <c r="C119" s="5" t="s">
        <v>54</v>
      </c>
      <c r="D119" s="5" t="s">
        <v>37</v>
      </c>
      <c r="E119" s="7" t="n">
        <v>950</v>
      </c>
    </row>
    <row r="120" customFormat="false" ht="15" hidden="false" customHeight="false" outlineLevel="0" collapsed="false">
      <c r="A120" s="5" t="s">
        <v>163</v>
      </c>
      <c r="B120" s="6" t="n">
        <v>46154</v>
      </c>
      <c r="C120" s="5" t="s">
        <v>43</v>
      </c>
      <c r="D120" s="5" t="s">
        <v>66</v>
      </c>
      <c r="E120" s="7" t="n">
        <v>1240</v>
      </c>
    </row>
    <row r="121" customFormat="false" ht="15" hidden="false" customHeight="false" outlineLevel="0" collapsed="false">
      <c r="A121" s="5" t="s">
        <v>164</v>
      </c>
      <c r="B121" s="6" t="n">
        <v>46233</v>
      </c>
      <c r="C121" s="5" t="s">
        <v>57</v>
      </c>
      <c r="D121" s="5" t="s">
        <v>66</v>
      </c>
      <c r="E121" s="7" t="n">
        <v>1030</v>
      </c>
    </row>
    <row r="122" customFormat="false" ht="15" hidden="false" customHeight="false" outlineLevel="0" collapsed="false">
      <c r="A122" s="5" t="s">
        <v>165</v>
      </c>
      <c r="B122" s="6" t="n">
        <v>45939</v>
      </c>
      <c r="C122" s="5" t="s">
        <v>54</v>
      </c>
      <c r="D122" s="5" t="s">
        <v>66</v>
      </c>
      <c r="E122" s="7" t="n">
        <v>1290</v>
      </c>
    </row>
    <row r="123" customFormat="false" ht="15" hidden="false" customHeight="false" outlineLevel="0" collapsed="false">
      <c r="A123" s="5" t="s">
        <v>166</v>
      </c>
      <c r="B123" s="6" t="n">
        <v>45914</v>
      </c>
      <c r="C123" s="5" t="s">
        <v>43</v>
      </c>
      <c r="D123" s="5" t="s">
        <v>48</v>
      </c>
      <c r="E123" s="7" t="n">
        <v>480</v>
      </c>
    </row>
    <row r="124" customFormat="false" ht="15" hidden="false" customHeight="false" outlineLevel="0" collapsed="false">
      <c r="A124" s="5" t="s">
        <v>167</v>
      </c>
      <c r="B124" s="6" t="n">
        <v>46216</v>
      </c>
      <c r="C124" s="5" t="s">
        <v>54</v>
      </c>
      <c r="D124" s="5" t="s">
        <v>48</v>
      </c>
      <c r="E124" s="7" t="n">
        <v>1320</v>
      </c>
    </row>
    <row r="125" customFormat="false" ht="15" hidden="false" customHeight="false" outlineLevel="0" collapsed="false">
      <c r="A125" s="5" t="s">
        <v>168</v>
      </c>
      <c r="B125" s="6" t="n">
        <v>46119</v>
      </c>
      <c r="C125" s="5" t="s">
        <v>35</v>
      </c>
      <c r="D125" s="5" t="s">
        <v>66</v>
      </c>
      <c r="E125" s="7" t="n">
        <v>200</v>
      </c>
    </row>
    <row r="126" customFormat="false" ht="15" hidden="false" customHeight="false" outlineLevel="0" collapsed="false">
      <c r="A126" s="5" t="s">
        <v>169</v>
      </c>
      <c r="B126" s="6" t="n">
        <v>46228</v>
      </c>
      <c r="C126" s="5" t="s">
        <v>43</v>
      </c>
      <c r="D126" s="5" t="s">
        <v>37</v>
      </c>
      <c r="E126" s="7" t="n">
        <v>1130</v>
      </c>
    </row>
    <row r="127" customFormat="false" ht="15" hidden="false" customHeight="false" outlineLevel="0" collapsed="false">
      <c r="A127" s="5" t="s">
        <v>170</v>
      </c>
      <c r="B127" s="6" t="n">
        <v>45783</v>
      </c>
      <c r="C127" s="5" t="s">
        <v>35</v>
      </c>
      <c r="D127" s="5" t="s">
        <v>37</v>
      </c>
      <c r="E127" s="7" t="n">
        <v>160</v>
      </c>
    </row>
    <row r="128" customFormat="false" ht="15" hidden="false" customHeight="false" outlineLevel="0" collapsed="false">
      <c r="A128" s="5" t="s">
        <v>171</v>
      </c>
      <c r="B128" s="6" t="n">
        <v>45749</v>
      </c>
      <c r="C128" s="5" t="s">
        <v>46</v>
      </c>
      <c r="D128" s="5" t="s">
        <v>33</v>
      </c>
      <c r="E128" s="7" t="n">
        <v>410</v>
      </c>
    </row>
    <row r="129" customFormat="false" ht="15" hidden="false" customHeight="false" outlineLevel="0" collapsed="false">
      <c r="A129" s="5" t="s">
        <v>172</v>
      </c>
      <c r="B129" s="6" t="n">
        <v>45960</v>
      </c>
      <c r="C129" s="5" t="s">
        <v>57</v>
      </c>
      <c r="D129" s="5" t="s">
        <v>48</v>
      </c>
      <c r="E129" s="7" t="n">
        <v>1160</v>
      </c>
    </row>
    <row r="130" customFormat="false" ht="15" hidden="false" customHeight="false" outlineLevel="0" collapsed="false">
      <c r="A130" s="5" t="s">
        <v>173</v>
      </c>
      <c r="B130" s="6" t="n">
        <v>45668</v>
      </c>
      <c r="C130" s="5" t="s">
        <v>46</v>
      </c>
      <c r="D130" s="5" t="s">
        <v>44</v>
      </c>
      <c r="E130" s="7" t="n">
        <v>1370</v>
      </c>
    </row>
    <row r="131" customFormat="false" ht="15" hidden="false" customHeight="false" outlineLevel="0" collapsed="false">
      <c r="A131" s="5" t="s">
        <v>174</v>
      </c>
      <c r="B131" s="6" t="n">
        <v>46037</v>
      </c>
      <c r="C131" s="5" t="s">
        <v>57</v>
      </c>
      <c r="D131" s="5" t="s">
        <v>44</v>
      </c>
      <c r="E131" s="7" t="n">
        <v>1120</v>
      </c>
    </row>
    <row r="132" customFormat="false" ht="15" hidden="false" customHeight="false" outlineLevel="0" collapsed="false">
      <c r="A132" s="5" t="s">
        <v>175</v>
      </c>
      <c r="B132" s="6" t="n">
        <v>45831</v>
      </c>
      <c r="C132" s="5" t="s">
        <v>39</v>
      </c>
      <c r="D132" s="5" t="s">
        <v>44</v>
      </c>
      <c r="E132" s="7" t="n">
        <v>890</v>
      </c>
    </row>
    <row r="133" customFormat="false" ht="15" hidden="false" customHeight="false" outlineLevel="0" collapsed="false">
      <c r="A133" s="5" t="s">
        <v>176</v>
      </c>
      <c r="B133" s="6" t="n">
        <v>46074</v>
      </c>
      <c r="C133" s="5" t="s">
        <v>57</v>
      </c>
      <c r="D133" s="5" t="s">
        <v>37</v>
      </c>
      <c r="E133" s="7" t="n">
        <v>1200</v>
      </c>
    </row>
    <row r="134" customFormat="false" ht="15" hidden="false" customHeight="false" outlineLevel="0" collapsed="false">
      <c r="A134" s="5" t="s">
        <v>177</v>
      </c>
      <c r="B134" s="6" t="n">
        <v>45938</v>
      </c>
      <c r="C134" s="5" t="s">
        <v>39</v>
      </c>
      <c r="D134" s="5" t="s">
        <v>44</v>
      </c>
      <c r="E134" s="7" t="n">
        <v>560</v>
      </c>
    </row>
    <row r="135" customFormat="false" ht="15" hidden="false" customHeight="false" outlineLevel="0" collapsed="false">
      <c r="A135" s="5" t="s">
        <v>178</v>
      </c>
      <c r="B135" s="6" t="n">
        <v>46006</v>
      </c>
      <c r="C135" s="5" t="s">
        <v>39</v>
      </c>
      <c r="D135" s="5" t="s">
        <v>33</v>
      </c>
      <c r="E135" s="7" t="n">
        <v>760</v>
      </c>
    </row>
    <row r="136" customFormat="false" ht="15" hidden="false" customHeight="false" outlineLevel="0" collapsed="false">
      <c r="A136" s="5" t="s">
        <v>179</v>
      </c>
      <c r="B136" s="6" t="n">
        <v>45892</v>
      </c>
      <c r="C136" s="5" t="s">
        <v>57</v>
      </c>
      <c r="D136" s="5" t="s">
        <v>66</v>
      </c>
      <c r="E136" s="7" t="n">
        <v>350</v>
      </c>
    </row>
    <row r="137" customFormat="false" ht="15" hidden="false" customHeight="false" outlineLevel="0" collapsed="false">
      <c r="A137" s="5" t="s">
        <v>180</v>
      </c>
      <c r="B137" s="6" t="n">
        <v>45726</v>
      </c>
      <c r="C137" s="5" t="s">
        <v>46</v>
      </c>
      <c r="D137" s="5" t="s">
        <v>37</v>
      </c>
      <c r="E137" s="7" t="n">
        <v>640</v>
      </c>
    </row>
    <row r="138" customFormat="false" ht="15" hidden="false" customHeight="false" outlineLevel="0" collapsed="false">
      <c r="A138" s="5" t="s">
        <v>181</v>
      </c>
      <c r="B138" s="6" t="n">
        <v>46117</v>
      </c>
      <c r="C138" s="5" t="s">
        <v>32</v>
      </c>
      <c r="D138" s="5" t="s">
        <v>40</v>
      </c>
      <c r="E138" s="7" t="n">
        <v>1100</v>
      </c>
    </row>
    <row r="139" customFormat="false" ht="15" hidden="false" customHeight="false" outlineLevel="0" collapsed="false">
      <c r="A139" s="5" t="s">
        <v>182</v>
      </c>
      <c r="B139" s="6" t="n">
        <v>45660</v>
      </c>
      <c r="C139" s="5" t="s">
        <v>71</v>
      </c>
      <c r="D139" s="5" t="s">
        <v>37</v>
      </c>
      <c r="E139" s="7" t="n">
        <v>210</v>
      </c>
    </row>
    <row r="140" customFormat="false" ht="15" hidden="false" customHeight="false" outlineLevel="0" collapsed="false">
      <c r="A140" s="5" t="s">
        <v>183</v>
      </c>
      <c r="B140" s="6" t="n">
        <v>45836</v>
      </c>
      <c r="C140" s="5" t="s">
        <v>32</v>
      </c>
      <c r="D140" s="5" t="s">
        <v>66</v>
      </c>
      <c r="E140" s="7" t="n">
        <v>550</v>
      </c>
    </row>
    <row r="141" customFormat="false" ht="15" hidden="false" customHeight="false" outlineLevel="0" collapsed="false">
      <c r="A141" s="5" t="s">
        <v>184</v>
      </c>
      <c r="B141" s="6" t="n">
        <v>45994</v>
      </c>
      <c r="C141" s="5" t="s">
        <v>46</v>
      </c>
      <c r="D141" s="5" t="s">
        <v>40</v>
      </c>
      <c r="E141" s="7" t="n">
        <v>940</v>
      </c>
    </row>
    <row r="142" customFormat="false" ht="15" hidden="false" customHeight="false" outlineLevel="0" collapsed="false">
      <c r="A142" s="5" t="s">
        <v>185</v>
      </c>
      <c r="B142" s="6" t="n">
        <v>45735</v>
      </c>
      <c r="C142" s="5" t="s">
        <v>39</v>
      </c>
      <c r="D142" s="5" t="s">
        <v>66</v>
      </c>
      <c r="E142" s="7" t="n">
        <v>600</v>
      </c>
    </row>
    <row r="143" customFormat="false" ht="15" hidden="false" customHeight="false" outlineLevel="0" collapsed="false">
      <c r="A143" s="5" t="s">
        <v>186</v>
      </c>
      <c r="B143" s="6" t="n">
        <v>46091</v>
      </c>
      <c r="C143" s="5" t="s">
        <v>39</v>
      </c>
      <c r="D143" s="5" t="s">
        <v>44</v>
      </c>
      <c r="E143" s="7" t="n">
        <v>580</v>
      </c>
    </row>
    <row r="144" customFormat="false" ht="15" hidden="false" customHeight="false" outlineLevel="0" collapsed="false">
      <c r="A144" s="5" t="s">
        <v>187</v>
      </c>
      <c r="B144" s="6" t="n">
        <v>45869</v>
      </c>
      <c r="C144" s="5" t="s">
        <v>43</v>
      </c>
      <c r="D144" s="5" t="s">
        <v>44</v>
      </c>
      <c r="E144" s="7" t="n">
        <v>320</v>
      </c>
    </row>
    <row r="145" customFormat="false" ht="15" hidden="false" customHeight="false" outlineLevel="0" collapsed="false">
      <c r="A145" s="5" t="s">
        <v>188</v>
      </c>
      <c r="B145" s="6" t="n">
        <v>45804</v>
      </c>
      <c r="C145" s="5" t="s">
        <v>43</v>
      </c>
      <c r="D145" s="5" t="s">
        <v>33</v>
      </c>
      <c r="E145" s="7" t="n">
        <v>210</v>
      </c>
    </row>
    <row r="146" customFormat="false" ht="15" hidden="false" customHeight="false" outlineLevel="0" collapsed="false">
      <c r="A146" s="5" t="s">
        <v>189</v>
      </c>
      <c r="B146" s="6" t="n">
        <v>46102</v>
      </c>
      <c r="C146" s="5" t="s">
        <v>57</v>
      </c>
      <c r="D146" s="5" t="s">
        <v>33</v>
      </c>
      <c r="E146" s="7" t="n">
        <v>370</v>
      </c>
    </row>
    <row r="147" customFormat="false" ht="15" hidden="false" customHeight="false" outlineLevel="0" collapsed="false">
      <c r="A147" s="5" t="s">
        <v>190</v>
      </c>
      <c r="B147" s="6" t="n">
        <v>46147</v>
      </c>
      <c r="C147" s="5" t="s">
        <v>57</v>
      </c>
      <c r="D147" s="5" t="s">
        <v>48</v>
      </c>
      <c r="E147" s="7" t="n">
        <v>1220</v>
      </c>
    </row>
    <row r="148" customFormat="false" ht="15" hidden="false" customHeight="false" outlineLevel="0" collapsed="false">
      <c r="A148" s="5" t="s">
        <v>191</v>
      </c>
      <c r="B148" s="6" t="n">
        <v>46095</v>
      </c>
      <c r="C148" s="5" t="s">
        <v>54</v>
      </c>
      <c r="D148" s="5" t="s">
        <v>37</v>
      </c>
      <c r="E148" s="7" t="n">
        <v>580</v>
      </c>
    </row>
    <row r="149" customFormat="false" ht="15" hidden="false" customHeight="false" outlineLevel="0" collapsed="false">
      <c r="A149" s="5" t="s">
        <v>192</v>
      </c>
      <c r="B149" s="6" t="n">
        <v>45774</v>
      </c>
      <c r="C149" s="5" t="s">
        <v>54</v>
      </c>
      <c r="D149" s="5" t="s">
        <v>33</v>
      </c>
      <c r="E149" s="7" t="n">
        <v>1110</v>
      </c>
    </row>
    <row r="150" customFormat="false" ht="15" hidden="false" customHeight="false" outlineLevel="0" collapsed="false">
      <c r="A150" s="5" t="s">
        <v>193</v>
      </c>
      <c r="B150" s="6" t="n">
        <v>45904</v>
      </c>
      <c r="C150" s="5" t="s">
        <v>32</v>
      </c>
      <c r="D150" s="5" t="s">
        <v>44</v>
      </c>
      <c r="E150" s="7" t="n">
        <v>800</v>
      </c>
    </row>
    <row r="151" customFormat="false" ht="15" hidden="false" customHeight="false" outlineLevel="0" collapsed="false">
      <c r="A151" s="5" t="s">
        <v>194</v>
      </c>
      <c r="B151" s="6" t="n">
        <v>46089</v>
      </c>
      <c r="C151" s="5" t="s">
        <v>35</v>
      </c>
      <c r="D151" s="5" t="s">
        <v>33</v>
      </c>
      <c r="E151" s="7" t="n">
        <v>840</v>
      </c>
    </row>
    <row r="152" customFormat="false" ht="15" hidden="false" customHeight="false" outlineLevel="0" collapsed="false">
      <c r="A152" s="5" t="s">
        <v>195</v>
      </c>
      <c r="B152" s="6" t="n">
        <v>45760</v>
      </c>
      <c r="C152" s="5" t="s">
        <v>39</v>
      </c>
      <c r="D152" s="5" t="s">
        <v>44</v>
      </c>
      <c r="E152" s="7" t="n">
        <v>770</v>
      </c>
    </row>
    <row r="153" customFormat="false" ht="15" hidden="false" customHeight="false" outlineLevel="0" collapsed="false">
      <c r="A153" s="5" t="s">
        <v>196</v>
      </c>
      <c r="B153" s="6" t="n">
        <v>46199</v>
      </c>
      <c r="C153" s="5" t="s">
        <v>46</v>
      </c>
      <c r="D153" s="5" t="s">
        <v>48</v>
      </c>
      <c r="E153" s="7" t="n">
        <v>970</v>
      </c>
    </row>
    <row r="154" customFormat="false" ht="15" hidden="false" customHeight="false" outlineLevel="0" collapsed="false">
      <c r="A154" s="5" t="s">
        <v>197</v>
      </c>
      <c r="B154" s="6" t="n">
        <v>46145</v>
      </c>
      <c r="C154" s="5" t="s">
        <v>46</v>
      </c>
      <c r="D154" s="5" t="s">
        <v>48</v>
      </c>
      <c r="E154" s="7" t="n">
        <v>850</v>
      </c>
    </row>
    <row r="155" customFormat="false" ht="15" hidden="false" customHeight="false" outlineLevel="0" collapsed="false">
      <c r="A155" s="5" t="s">
        <v>198</v>
      </c>
      <c r="B155" s="6" t="n">
        <v>46134</v>
      </c>
      <c r="C155" s="5" t="s">
        <v>43</v>
      </c>
      <c r="D155" s="5" t="s">
        <v>48</v>
      </c>
      <c r="E155" s="7" t="n">
        <v>1350</v>
      </c>
    </row>
    <row r="156" customFormat="false" ht="15" hidden="false" customHeight="false" outlineLevel="0" collapsed="false">
      <c r="A156" s="5" t="s">
        <v>199</v>
      </c>
      <c r="B156" s="6" t="n">
        <v>46266</v>
      </c>
      <c r="C156" s="5" t="s">
        <v>43</v>
      </c>
      <c r="D156" s="5" t="s">
        <v>66</v>
      </c>
      <c r="E156" s="7" t="n">
        <v>820</v>
      </c>
    </row>
    <row r="157" customFormat="false" ht="15" hidden="false" customHeight="false" outlineLevel="0" collapsed="false">
      <c r="A157" s="5" t="s">
        <v>200</v>
      </c>
      <c r="B157" s="6" t="n">
        <v>45832</v>
      </c>
      <c r="C157" s="5" t="s">
        <v>54</v>
      </c>
      <c r="D157" s="5" t="s">
        <v>40</v>
      </c>
      <c r="E157" s="7" t="n">
        <v>170</v>
      </c>
    </row>
    <row r="158" customFormat="false" ht="15" hidden="false" customHeight="false" outlineLevel="0" collapsed="false">
      <c r="A158" s="5" t="s">
        <v>201</v>
      </c>
      <c r="B158" s="6" t="n">
        <v>46079</v>
      </c>
      <c r="C158" s="5" t="s">
        <v>46</v>
      </c>
      <c r="D158" s="5" t="s">
        <v>40</v>
      </c>
      <c r="E158" s="7" t="n">
        <v>1040</v>
      </c>
    </row>
    <row r="159" customFormat="false" ht="15" hidden="false" customHeight="false" outlineLevel="0" collapsed="false">
      <c r="A159" s="5" t="s">
        <v>202</v>
      </c>
      <c r="B159" s="6" t="n">
        <v>46221</v>
      </c>
      <c r="C159" s="5" t="s">
        <v>54</v>
      </c>
      <c r="D159" s="5" t="s">
        <v>37</v>
      </c>
      <c r="E159" s="7" t="n">
        <v>1300</v>
      </c>
    </row>
    <row r="160" customFormat="false" ht="15" hidden="false" customHeight="false" outlineLevel="0" collapsed="false">
      <c r="A160" s="5" t="s">
        <v>203</v>
      </c>
      <c r="B160" s="6" t="n">
        <v>46210</v>
      </c>
      <c r="C160" s="5" t="s">
        <v>54</v>
      </c>
      <c r="D160" s="5" t="s">
        <v>66</v>
      </c>
      <c r="E160" s="7" t="n">
        <v>170</v>
      </c>
    </row>
    <row r="161" customFormat="false" ht="15" hidden="false" customHeight="false" outlineLevel="0" collapsed="false">
      <c r="A161" s="5" t="s">
        <v>204</v>
      </c>
      <c r="B161" s="6" t="n">
        <v>45948</v>
      </c>
      <c r="C161" s="5" t="s">
        <v>71</v>
      </c>
      <c r="D161" s="5" t="s">
        <v>37</v>
      </c>
      <c r="E161" s="7" t="n">
        <v>870</v>
      </c>
    </row>
    <row r="162" customFormat="false" ht="15" hidden="false" customHeight="false" outlineLevel="0" collapsed="false">
      <c r="A162" s="5" t="s">
        <v>205</v>
      </c>
      <c r="B162" s="6" t="n">
        <v>45663</v>
      </c>
      <c r="C162" s="5" t="s">
        <v>32</v>
      </c>
      <c r="D162" s="5" t="s">
        <v>66</v>
      </c>
      <c r="E162" s="7" t="n">
        <v>230</v>
      </c>
    </row>
    <row r="163" customFormat="false" ht="15" hidden="false" customHeight="false" outlineLevel="0" collapsed="false">
      <c r="A163" s="5" t="s">
        <v>206</v>
      </c>
      <c r="B163" s="6" t="n">
        <v>45690</v>
      </c>
      <c r="C163" s="5" t="s">
        <v>57</v>
      </c>
      <c r="D163" s="5" t="s">
        <v>48</v>
      </c>
      <c r="E163" s="7" t="n">
        <v>840</v>
      </c>
    </row>
    <row r="164" customFormat="false" ht="15" hidden="false" customHeight="false" outlineLevel="0" collapsed="false">
      <c r="A164" s="5" t="s">
        <v>207</v>
      </c>
      <c r="B164" s="6" t="n">
        <v>46051</v>
      </c>
      <c r="C164" s="5" t="s">
        <v>35</v>
      </c>
      <c r="D164" s="5" t="s">
        <v>44</v>
      </c>
      <c r="E164" s="7" t="n">
        <v>700</v>
      </c>
    </row>
    <row r="165" customFormat="false" ht="15" hidden="false" customHeight="false" outlineLevel="0" collapsed="false">
      <c r="A165" s="5" t="s">
        <v>208</v>
      </c>
      <c r="B165" s="6" t="n">
        <v>46051</v>
      </c>
      <c r="C165" s="5" t="s">
        <v>35</v>
      </c>
      <c r="D165" s="5" t="s">
        <v>48</v>
      </c>
      <c r="E165" s="7" t="n">
        <v>1230</v>
      </c>
    </row>
    <row r="166" customFormat="false" ht="15" hidden="false" customHeight="false" outlineLevel="0" collapsed="false">
      <c r="A166" s="5" t="s">
        <v>209</v>
      </c>
      <c r="B166" s="6" t="n">
        <v>46066</v>
      </c>
      <c r="C166" s="5" t="s">
        <v>39</v>
      </c>
      <c r="D166" s="5" t="s">
        <v>44</v>
      </c>
      <c r="E166" s="7" t="n">
        <v>1360</v>
      </c>
    </row>
    <row r="167" customFormat="false" ht="15" hidden="false" customHeight="false" outlineLevel="0" collapsed="false">
      <c r="A167" s="5" t="s">
        <v>210</v>
      </c>
      <c r="B167" s="6" t="n">
        <v>46059</v>
      </c>
      <c r="C167" s="5" t="s">
        <v>71</v>
      </c>
      <c r="D167" s="5" t="s">
        <v>66</v>
      </c>
      <c r="E167" s="7" t="n">
        <v>390</v>
      </c>
    </row>
    <row r="168" customFormat="false" ht="15" hidden="false" customHeight="false" outlineLevel="0" collapsed="false">
      <c r="A168" s="5" t="s">
        <v>211</v>
      </c>
      <c r="B168" s="6" t="n">
        <v>46158</v>
      </c>
      <c r="C168" s="5" t="s">
        <v>43</v>
      </c>
      <c r="D168" s="5" t="s">
        <v>44</v>
      </c>
      <c r="E168" s="7" t="n">
        <v>410</v>
      </c>
    </row>
    <row r="169" customFormat="false" ht="15" hidden="false" customHeight="false" outlineLevel="0" collapsed="false">
      <c r="A169" s="5" t="s">
        <v>212</v>
      </c>
      <c r="B169" s="6" t="n">
        <v>45718</v>
      </c>
      <c r="C169" s="5" t="s">
        <v>54</v>
      </c>
      <c r="D169" s="5" t="s">
        <v>37</v>
      </c>
      <c r="E169" s="7" t="n">
        <v>840</v>
      </c>
    </row>
    <row r="170" customFormat="false" ht="15" hidden="false" customHeight="false" outlineLevel="0" collapsed="false">
      <c r="A170" s="5" t="s">
        <v>213</v>
      </c>
      <c r="B170" s="6" t="n">
        <v>45783</v>
      </c>
      <c r="C170" s="5" t="s">
        <v>54</v>
      </c>
      <c r="D170" s="5" t="s">
        <v>66</v>
      </c>
      <c r="E170" s="7" t="n">
        <v>620</v>
      </c>
    </row>
    <row r="171" customFormat="false" ht="15" hidden="false" customHeight="false" outlineLevel="0" collapsed="false">
      <c r="A171" s="5" t="s">
        <v>214</v>
      </c>
      <c r="B171" s="6" t="n">
        <v>45715</v>
      </c>
      <c r="C171" s="5" t="s">
        <v>32</v>
      </c>
      <c r="D171" s="5" t="s">
        <v>48</v>
      </c>
      <c r="E171" s="7" t="n">
        <v>700</v>
      </c>
    </row>
    <row r="172" customFormat="false" ht="15" hidden="false" customHeight="false" outlineLevel="0" collapsed="false">
      <c r="A172" s="5" t="s">
        <v>215</v>
      </c>
      <c r="B172" s="6" t="n">
        <v>45997</v>
      </c>
      <c r="C172" s="5" t="s">
        <v>71</v>
      </c>
      <c r="D172" s="5" t="s">
        <v>66</v>
      </c>
      <c r="E172" s="7" t="n">
        <v>300</v>
      </c>
    </row>
    <row r="173" customFormat="false" ht="15" hidden="false" customHeight="false" outlineLevel="0" collapsed="false">
      <c r="A173" s="5" t="s">
        <v>216</v>
      </c>
      <c r="B173" s="6" t="n">
        <v>46088</v>
      </c>
      <c r="C173" s="5" t="s">
        <v>43</v>
      </c>
      <c r="D173" s="5" t="s">
        <v>40</v>
      </c>
      <c r="E173" s="7" t="n">
        <v>790</v>
      </c>
    </row>
    <row r="174" customFormat="false" ht="15" hidden="false" customHeight="false" outlineLevel="0" collapsed="false">
      <c r="A174" s="5" t="s">
        <v>217</v>
      </c>
      <c r="B174" s="6" t="n">
        <v>45938</v>
      </c>
      <c r="C174" s="5" t="s">
        <v>35</v>
      </c>
      <c r="D174" s="5" t="s">
        <v>66</v>
      </c>
      <c r="E174" s="7" t="n">
        <v>800</v>
      </c>
    </row>
    <row r="175" customFormat="false" ht="15" hidden="false" customHeight="false" outlineLevel="0" collapsed="false">
      <c r="A175" s="5" t="s">
        <v>218</v>
      </c>
      <c r="B175" s="6" t="n">
        <v>46114</v>
      </c>
      <c r="C175" s="5" t="s">
        <v>54</v>
      </c>
      <c r="D175" s="5" t="s">
        <v>44</v>
      </c>
      <c r="E175" s="7" t="n">
        <v>940</v>
      </c>
    </row>
    <row r="176" customFormat="false" ht="15" hidden="false" customHeight="false" outlineLevel="0" collapsed="false">
      <c r="A176" s="5" t="s">
        <v>219</v>
      </c>
      <c r="B176" s="6" t="n">
        <v>45668</v>
      </c>
      <c r="C176" s="5" t="s">
        <v>39</v>
      </c>
      <c r="D176" s="5" t="s">
        <v>44</v>
      </c>
      <c r="E176" s="7" t="n">
        <v>1110</v>
      </c>
    </row>
    <row r="177" customFormat="false" ht="15" hidden="false" customHeight="false" outlineLevel="0" collapsed="false">
      <c r="A177" s="5" t="s">
        <v>220</v>
      </c>
      <c r="B177" s="6" t="n">
        <v>46159</v>
      </c>
      <c r="C177" s="5" t="s">
        <v>32</v>
      </c>
      <c r="D177" s="5" t="s">
        <v>40</v>
      </c>
      <c r="E177" s="7" t="n">
        <v>1190</v>
      </c>
    </row>
    <row r="178" customFormat="false" ht="15" hidden="false" customHeight="false" outlineLevel="0" collapsed="false">
      <c r="A178" s="5" t="s">
        <v>221</v>
      </c>
      <c r="B178" s="6" t="n">
        <v>45979</v>
      </c>
      <c r="C178" s="5" t="s">
        <v>35</v>
      </c>
      <c r="D178" s="5" t="s">
        <v>44</v>
      </c>
      <c r="E178" s="7" t="n">
        <v>610</v>
      </c>
    </row>
    <row r="179" customFormat="false" ht="15" hidden="false" customHeight="false" outlineLevel="0" collapsed="false">
      <c r="A179" s="5" t="s">
        <v>222</v>
      </c>
      <c r="B179" s="6" t="n">
        <v>45777</v>
      </c>
      <c r="C179" s="5" t="s">
        <v>46</v>
      </c>
      <c r="D179" s="5" t="s">
        <v>37</v>
      </c>
      <c r="E179" s="7" t="n">
        <v>550</v>
      </c>
    </row>
    <row r="180" customFormat="false" ht="15" hidden="false" customHeight="false" outlineLevel="0" collapsed="false">
      <c r="A180" s="5" t="s">
        <v>223</v>
      </c>
      <c r="B180" s="6" t="n">
        <v>45965</v>
      </c>
      <c r="C180" s="5" t="s">
        <v>32</v>
      </c>
      <c r="D180" s="5" t="s">
        <v>40</v>
      </c>
      <c r="E180" s="7" t="n">
        <v>1200</v>
      </c>
    </row>
    <row r="181" customFormat="false" ht="15" hidden="false" customHeight="false" outlineLevel="0" collapsed="false">
      <c r="A181" s="5" t="s">
        <v>224</v>
      </c>
      <c r="B181" s="6" t="n">
        <v>45804</v>
      </c>
      <c r="C181" s="5" t="s">
        <v>43</v>
      </c>
      <c r="D181" s="5" t="s">
        <v>44</v>
      </c>
      <c r="E181" s="7" t="n">
        <v>1100</v>
      </c>
    </row>
    <row r="182" customFormat="false" ht="15" hidden="false" customHeight="false" outlineLevel="0" collapsed="false">
      <c r="A182" s="5" t="s">
        <v>225</v>
      </c>
      <c r="B182" s="6" t="n">
        <v>46252</v>
      </c>
      <c r="C182" s="5" t="s">
        <v>57</v>
      </c>
      <c r="D182" s="5" t="s">
        <v>33</v>
      </c>
      <c r="E182" s="7" t="n">
        <v>1030</v>
      </c>
    </row>
    <row r="183" customFormat="false" ht="15" hidden="false" customHeight="false" outlineLevel="0" collapsed="false">
      <c r="A183" s="5" t="s">
        <v>226</v>
      </c>
      <c r="B183" s="6" t="n">
        <v>45802</v>
      </c>
      <c r="C183" s="5" t="s">
        <v>46</v>
      </c>
      <c r="D183" s="5" t="s">
        <v>66</v>
      </c>
      <c r="E183" s="7" t="n">
        <v>1010</v>
      </c>
    </row>
    <row r="184" customFormat="false" ht="15" hidden="false" customHeight="false" outlineLevel="0" collapsed="false">
      <c r="A184" s="5" t="s">
        <v>227</v>
      </c>
      <c r="B184" s="6" t="n">
        <v>45835</v>
      </c>
      <c r="C184" s="5" t="s">
        <v>46</v>
      </c>
      <c r="D184" s="5" t="s">
        <v>40</v>
      </c>
      <c r="E184" s="7" t="n">
        <v>700</v>
      </c>
    </row>
    <row r="185" customFormat="false" ht="15" hidden="false" customHeight="false" outlineLevel="0" collapsed="false">
      <c r="A185" s="5" t="s">
        <v>228</v>
      </c>
      <c r="B185" s="6" t="n">
        <v>46128</v>
      </c>
      <c r="C185" s="5" t="s">
        <v>43</v>
      </c>
      <c r="D185" s="5" t="s">
        <v>33</v>
      </c>
      <c r="E185" s="7" t="n">
        <v>520</v>
      </c>
    </row>
    <row r="186" customFormat="false" ht="15" hidden="false" customHeight="false" outlineLevel="0" collapsed="false">
      <c r="A186" s="5" t="s">
        <v>229</v>
      </c>
      <c r="B186" s="6" t="n">
        <v>46197</v>
      </c>
      <c r="C186" s="5" t="s">
        <v>54</v>
      </c>
      <c r="D186" s="5" t="s">
        <v>33</v>
      </c>
      <c r="E186" s="7" t="n">
        <v>1260</v>
      </c>
    </row>
    <row r="187" customFormat="false" ht="15" hidden="false" customHeight="false" outlineLevel="0" collapsed="false">
      <c r="A187" s="5" t="s">
        <v>230</v>
      </c>
      <c r="B187" s="6" t="n">
        <v>45990</v>
      </c>
      <c r="C187" s="5" t="s">
        <v>43</v>
      </c>
      <c r="D187" s="5" t="s">
        <v>40</v>
      </c>
      <c r="E187" s="7" t="n">
        <v>940</v>
      </c>
    </row>
    <row r="188" customFormat="false" ht="15" hidden="false" customHeight="false" outlineLevel="0" collapsed="false">
      <c r="A188" s="5" t="s">
        <v>231</v>
      </c>
      <c r="B188" s="6" t="n">
        <v>45836</v>
      </c>
      <c r="C188" s="5" t="s">
        <v>57</v>
      </c>
      <c r="D188" s="5" t="s">
        <v>66</v>
      </c>
      <c r="E188" s="7" t="n">
        <v>1150</v>
      </c>
    </row>
    <row r="189" customFormat="false" ht="15" hidden="false" customHeight="false" outlineLevel="0" collapsed="false">
      <c r="A189" s="5" t="s">
        <v>232</v>
      </c>
      <c r="B189" s="6" t="n">
        <v>45799</v>
      </c>
      <c r="C189" s="5" t="s">
        <v>57</v>
      </c>
      <c r="D189" s="5" t="s">
        <v>33</v>
      </c>
      <c r="E189" s="7" t="n">
        <v>1190</v>
      </c>
    </row>
    <row r="190" customFormat="false" ht="15" hidden="false" customHeight="false" outlineLevel="0" collapsed="false">
      <c r="A190" s="5" t="s">
        <v>233</v>
      </c>
      <c r="B190" s="6" t="n">
        <v>46034</v>
      </c>
      <c r="C190" s="5" t="s">
        <v>46</v>
      </c>
      <c r="D190" s="5" t="s">
        <v>66</v>
      </c>
      <c r="E190" s="7" t="n">
        <v>880</v>
      </c>
    </row>
    <row r="191" customFormat="false" ht="15" hidden="false" customHeight="false" outlineLevel="0" collapsed="false">
      <c r="A191" s="5" t="s">
        <v>234</v>
      </c>
      <c r="B191" s="6" t="n">
        <v>46285</v>
      </c>
      <c r="C191" s="5" t="s">
        <v>32</v>
      </c>
      <c r="D191" s="5" t="s">
        <v>37</v>
      </c>
      <c r="E191" s="7" t="n">
        <v>980</v>
      </c>
    </row>
    <row r="192" customFormat="false" ht="15" hidden="false" customHeight="false" outlineLevel="0" collapsed="false">
      <c r="A192" s="5" t="s">
        <v>235</v>
      </c>
      <c r="B192" s="6" t="n">
        <v>45945</v>
      </c>
      <c r="C192" s="5" t="s">
        <v>35</v>
      </c>
      <c r="D192" s="5" t="s">
        <v>66</v>
      </c>
      <c r="E192" s="7" t="n">
        <v>880</v>
      </c>
    </row>
    <row r="193" customFormat="false" ht="15" hidden="false" customHeight="false" outlineLevel="0" collapsed="false">
      <c r="A193" s="5" t="s">
        <v>236</v>
      </c>
      <c r="B193" s="6" t="n">
        <v>45791</v>
      </c>
      <c r="C193" s="5" t="s">
        <v>39</v>
      </c>
      <c r="D193" s="5" t="s">
        <v>48</v>
      </c>
      <c r="E193" s="7" t="n">
        <v>1080</v>
      </c>
    </row>
    <row r="194" customFormat="false" ht="15" hidden="false" customHeight="false" outlineLevel="0" collapsed="false">
      <c r="A194" s="5" t="s">
        <v>237</v>
      </c>
      <c r="B194" s="6" t="n">
        <v>46292</v>
      </c>
      <c r="C194" s="5" t="s">
        <v>39</v>
      </c>
      <c r="D194" s="5" t="s">
        <v>40</v>
      </c>
      <c r="E194" s="7" t="n">
        <v>1380</v>
      </c>
    </row>
    <row r="195" customFormat="false" ht="15" hidden="false" customHeight="false" outlineLevel="0" collapsed="false">
      <c r="A195" s="5" t="s">
        <v>238</v>
      </c>
      <c r="B195" s="6" t="n">
        <v>45967</v>
      </c>
      <c r="C195" s="5" t="s">
        <v>46</v>
      </c>
      <c r="D195" s="5" t="s">
        <v>40</v>
      </c>
      <c r="E195" s="7" t="n">
        <v>1300</v>
      </c>
    </row>
    <row r="196" customFormat="false" ht="15" hidden="false" customHeight="false" outlineLevel="0" collapsed="false">
      <c r="A196" s="5" t="s">
        <v>239</v>
      </c>
      <c r="B196" s="6" t="n">
        <v>45887</v>
      </c>
      <c r="C196" s="5" t="s">
        <v>46</v>
      </c>
      <c r="D196" s="5" t="s">
        <v>44</v>
      </c>
      <c r="E196" s="7" t="n">
        <v>1370</v>
      </c>
    </row>
    <row r="197" customFormat="false" ht="15" hidden="false" customHeight="false" outlineLevel="0" collapsed="false">
      <c r="A197" s="5" t="s">
        <v>240</v>
      </c>
      <c r="B197" s="6" t="n">
        <v>45875</v>
      </c>
      <c r="C197" s="5" t="s">
        <v>32</v>
      </c>
      <c r="D197" s="5" t="s">
        <v>33</v>
      </c>
      <c r="E197" s="7" t="n">
        <v>280</v>
      </c>
    </row>
    <row r="198" customFormat="false" ht="15" hidden="false" customHeight="false" outlineLevel="0" collapsed="false">
      <c r="A198" s="5" t="s">
        <v>241</v>
      </c>
      <c r="B198" s="6" t="n">
        <v>45883</v>
      </c>
      <c r="C198" s="5" t="s">
        <v>71</v>
      </c>
      <c r="D198" s="5" t="s">
        <v>66</v>
      </c>
      <c r="E198" s="7" t="n">
        <v>930</v>
      </c>
    </row>
    <row r="199" customFormat="false" ht="15" hidden="false" customHeight="false" outlineLevel="0" collapsed="false">
      <c r="A199" s="5" t="s">
        <v>242</v>
      </c>
      <c r="B199" s="6" t="n">
        <v>46114</v>
      </c>
      <c r="C199" s="5" t="s">
        <v>39</v>
      </c>
      <c r="D199" s="5" t="s">
        <v>48</v>
      </c>
      <c r="E199" s="7" t="n">
        <v>350</v>
      </c>
    </row>
    <row r="200" customFormat="false" ht="15" hidden="false" customHeight="false" outlineLevel="0" collapsed="false">
      <c r="A200" s="5" t="s">
        <v>243</v>
      </c>
      <c r="B200" s="6" t="n">
        <v>46182</v>
      </c>
      <c r="C200" s="5" t="s">
        <v>32</v>
      </c>
      <c r="D200" s="5" t="s">
        <v>48</v>
      </c>
      <c r="E200" s="7" t="n">
        <v>1280</v>
      </c>
    </row>
    <row r="201" customFormat="false" ht="15" hidden="false" customHeight="false" outlineLevel="0" collapsed="false">
      <c r="A201" s="5" t="s">
        <v>244</v>
      </c>
      <c r="B201" s="6" t="n">
        <v>46051</v>
      </c>
      <c r="C201" s="5" t="s">
        <v>32</v>
      </c>
      <c r="D201" s="5" t="s">
        <v>66</v>
      </c>
      <c r="E201" s="7" t="n">
        <v>960</v>
      </c>
    </row>
    <row r="202" customFormat="false" ht="15" hidden="false" customHeight="false" outlineLevel="0" collapsed="false">
      <c r="A202" s="5" t="s">
        <v>245</v>
      </c>
      <c r="B202" s="6" t="n">
        <v>45965</v>
      </c>
      <c r="C202" s="5" t="s">
        <v>43</v>
      </c>
      <c r="D202" s="5" t="s">
        <v>37</v>
      </c>
      <c r="E202" s="7" t="n">
        <v>740</v>
      </c>
    </row>
    <row r="203" customFormat="false" ht="15" hidden="false" customHeight="false" outlineLevel="0" collapsed="false">
      <c r="A203" s="5" t="s">
        <v>246</v>
      </c>
      <c r="B203" s="6" t="n">
        <v>46254</v>
      </c>
      <c r="C203" s="5" t="s">
        <v>71</v>
      </c>
      <c r="D203" s="5" t="s">
        <v>48</v>
      </c>
      <c r="E203" s="7" t="n">
        <v>1150</v>
      </c>
    </row>
    <row r="204" customFormat="false" ht="15" hidden="false" customHeight="false" outlineLevel="0" collapsed="false">
      <c r="A204" s="5" t="s">
        <v>247</v>
      </c>
      <c r="B204" s="6" t="n">
        <v>45690</v>
      </c>
      <c r="C204" s="5" t="s">
        <v>46</v>
      </c>
      <c r="D204" s="5" t="s">
        <v>66</v>
      </c>
      <c r="E204" s="7" t="n">
        <v>950</v>
      </c>
    </row>
    <row r="205" customFormat="false" ht="15" hidden="false" customHeight="false" outlineLevel="0" collapsed="false">
      <c r="A205" s="5" t="s">
        <v>248</v>
      </c>
      <c r="B205" s="6" t="n">
        <v>46185</v>
      </c>
      <c r="C205" s="5" t="s">
        <v>35</v>
      </c>
      <c r="D205" s="5" t="s">
        <v>33</v>
      </c>
      <c r="E205" s="7" t="n">
        <v>360</v>
      </c>
    </row>
    <row r="206" customFormat="false" ht="15" hidden="false" customHeight="false" outlineLevel="0" collapsed="false">
      <c r="A206" s="5" t="s">
        <v>249</v>
      </c>
      <c r="B206" s="6" t="n">
        <v>46287</v>
      </c>
      <c r="C206" s="5" t="s">
        <v>57</v>
      </c>
      <c r="D206" s="5" t="s">
        <v>44</v>
      </c>
      <c r="E206" s="7" t="n">
        <v>1260</v>
      </c>
    </row>
    <row r="207" customFormat="false" ht="15" hidden="false" customHeight="false" outlineLevel="0" collapsed="false">
      <c r="A207" s="5" t="s">
        <v>250</v>
      </c>
      <c r="B207" s="6" t="n">
        <v>46220</v>
      </c>
      <c r="C207" s="5" t="s">
        <v>71</v>
      </c>
      <c r="D207" s="5" t="s">
        <v>37</v>
      </c>
      <c r="E207" s="7" t="n">
        <v>1130</v>
      </c>
    </row>
    <row r="208" customFormat="false" ht="15" hidden="false" customHeight="false" outlineLevel="0" collapsed="false">
      <c r="A208" s="5" t="s">
        <v>251</v>
      </c>
      <c r="B208" s="6" t="n">
        <v>45850</v>
      </c>
      <c r="C208" s="5" t="s">
        <v>35</v>
      </c>
      <c r="D208" s="5" t="s">
        <v>66</v>
      </c>
      <c r="E208" s="7" t="n">
        <v>870</v>
      </c>
    </row>
    <row r="209" customFormat="false" ht="15" hidden="false" customHeight="false" outlineLevel="0" collapsed="false">
      <c r="A209" s="5" t="s">
        <v>252</v>
      </c>
      <c r="B209" s="6" t="n">
        <v>45981</v>
      </c>
      <c r="C209" s="5" t="s">
        <v>39</v>
      </c>
      <c r="D209" s="5" t="s">
        <v>37</v>
      </c>
      <c r="E209" s="7" t="n">
        <v>1290</v>
      </c>
    </row>
    <row r="210" customFormat="false" ht="15" hidden="false" customHeight="false" outlineLevel="0" collapsed="false">
      <c r="A210" s="5" t="s">
        <v>253</v>
      </c>
      <c r="B210" s="6" t="n">
        <v>46125</v>
      </c>
      <c r="C210" s="5" t="s">
        <v>35</v>
      </c>
      <c r="D210" s="5" t="s">
        <v>33</v>
      </c>
      <c r="E210" s="7" t="n">
        <v>680</v>
      </c>
    </row>
    <row r="211" customFormat="false" ht="15" hidden="false" customHeight="false" outlineLevel="0" collapsed="false">
      <c r="A211" s="5" t="s">
        <v>254</v>
      </c>
      <c r="B211" s="6" t="n">
        <v>45915</v>
      </c>
      <c r="C211" s="5" t="s">
        <v>32</v>
      </c>
      <c r="D211" s="5" t="s">
        <v>66</v>
      </c>
      <c r="E211" s="7" t="n">
        <v>1260</v>
      </c>
    </row>
    <row r="212" customFormat="false" ht="15" hidden="false" customHeight="false" outlineLevel="0" collapsed="false">
      <c r="A212" s="5" t="s">
        <v>255</v>
      </c>
      <c r="B212" s="6" t="n">
        <v>46215</v>
      </c>
      <c r="C212" s="5" t="s">
        <v>35</v>
      </c>
      <c r="D212" s="5" t="s">
        <v>48</v>
      </c>
      <c r="E212" s="7" t="n">
        <v>1180</v>
      </c>
    </row>
    <row r="213" customFormat="false" ht="15" hidden="false" customHeight="false" outlineLevel="0" collapsed="false">
      <c r="A213" s="5" t="s">
        <v>256</v>
      </c>
      <c r="B213" s="6" t="n">
        <v>46031</v>
      </c>
      <c r="C213" s="5" t="s">
        <v>46</v>
      </c>
      <c r="D213" s="5" t="s">
        <v>37</v>
      </c>
      <c r="E213" s="7" t="n">
        <v>1310</v>
      </c>
    </row>
    <row r="214" customFormat="false" ht="15" hidden="false" customHeight="false" outlineLevel="0" collapsed="false">
      <c r="A214" s="5" t="s">
        <v>257</v>
      </c>
      <c r="B214" s="6" t="n">
        <v>46037</v>
      </c>
      <c r="C214" s="5" t="s">
        <v>54</v>
      </c>
      <c r="D214" s="5" t="s">
        <v>48</v>
      </c>
      <c r="E214" s="7" t="n">
        <v>160</v>
      </c>
    </row>
    <row r="215" customFormat="false" ht="15" hidden="false" customHeight="false" outlineLevel="0" collapsed="false">
      <c r="A215" s="5" t="s">
        <v>258</v>
      </c>
      <c r="B215" s="6" t="n">
        <v>45886</v>
      </c>
      <c r="C215" s="5" t="s">
        <v>35</v>
      </c>
      <c r="D215" s="5" t="s">
        <v>33</v>
      </c>
      <c r="E215" s="7" t="n">
        <v>530</v>
      </c>
    </row>
    <row r="216" customFormat="false" ht="15" hidden="false" customHeight="false" outlineLevel="0" collapsed="false">
      <c r="A216" s="5" t="s">
        <v>259</v>
      </c>
      <c r="B216" s="6" t="n">
        <v>45709</v>
      </c>
      <c r="C216" s="5" t="s">
        <v>71</v>
      </c>
      <c r="D216" s="5" t="s">
        <v>40</v>
      </c>
      <c r="E216" s="7" t="n">
        <v>560</v>
      </c>
    </row>
    <row r="217" customFormat="false" ht="15" hidden="false" customHeight="false" outlineLevel="0" collapsed="false">
      <c r="A217" s="5" t="s">
        <v>260</v>
      </c>
      <c r="B217" s="6" t="n">
        <v>45680</v>
      </c>
      <c r="C217" s="5" t="s">
        <v>57</v>
      </c>
      <c r="D217" s="5" t="s">
        <v>40</v>
      </c>
      <c r="E217" s="7" t="n">
        <v>630</v>
      </c>
    </row>
    <row r="218" customFormat="false" ht="15" hidden="false" customHeight="false" outlineLevel="0" collapsed="false">
      <c r="A218" s="5" t="s">
        <v>261</v>
      </c>
      <c r="B218" s="6" t="n">
        <v>46262</v>
      </c>
      <c r="C218" s="5" t="s">
        <v>39</v>
      </c>
      <c r="D218" s="5" t="s">
        <v>37</v>
      </c>
      <c r="E218" s="7" t="n">
        <v>890</v>
      </c>
    </row>
    <row r="219" customFormat="false" ht="15" hidden="false" customHeight="false" outlineLevel="0" collapsed="false">
      <c r="A219" s="5" t="s">
        <v>262</v>
      </c>
      <c r="B219" s="6" t="n">
        <v>46198</v>
      </c>
      <c r="C219" s="5" t="s">
        <v>43</v>
      </c>
      <c r="D219" s="5" t="s">
        <v>33</v>
      </c>
      <c r="E219" s="7" t="n">
        <v>910</v>
      </c>
    </row>
    <row r="220" customFormat="false" ht="15" hidden="false" customHeight="false" outlineLevel="0" collapsed="false">
      <c r="A220" s="5" t="s">
        <v>263</v>
      </c>
      <c r="B220" s="6" t="n">
        <v>46030</v>
      </c>
      <c r="C220" s="5" t="s">
        <v>57</v>
      </c>
      <c r="D220" s="5" t="s">
        <v>48</v>
      </c>
      <c r="E220" s="7" t="n">
        <v>690</v>
      </c>
    </row>
    <row r="221" customFormat="false" ht="15" hidden="false" customHeight="false" outlineLevel="0" collapsed="false">
      <c r="A221" s="5" t="s">
        <v>264</v>
      </c>
      <c r="B221" s="6" t="n">
        <v>46168</v>
      </c>
      <c r="C221" s="5" t="s">
        <v>54</v>
      </c>
      <c r="D221" s="5" t="s">
        <v>33</v>
      </c>
      <c r="E221" s="7" t="n">
        <v>210</v>
      </c>
    </row>
    <row r="222" customFormat="false" ht="15" hidden="false" customHeight="false" outlineLevel="0" collapsed="false">
      <c r="A222" s="5" t="s">
        <v>265</v>
      </c>
      <c r="B222" s="6" t="n">
        <v>45772</v>
      </c>
      <c r="C222" s="5" t="s">
        <v>46</v>
      </c>
      <c r="D222" s="5" t="s">
        <v>48</v>
      </c>
      <c r="E222" s="7" t="n">
        <v>940</v>
      </c>
    </row>
    <row r="223" customFormat="false" ht="15" hidden="false" customHeight="false" outlineLevel="0" collapsed="false">
      <c r="A223" s="5" t="s">
        <v>266</v>
      </c>
      <c r="B223" s="6" t="n">
        <v>45924</v>
      </c>
      <c r="C223" s="5" t="s">
        <v>57</v>
      </c>
      <c r="D223" s="5" t="s">
        <v>37</v>
      </c>
      <c r="E223" s="7" t="n">
        <v>540</v>
      </c>
    </row>
    <row r="224" customFormat="false" ht="15" hidden="false" customHeight="false" outlineLevel="0" collapsed="false">
      <c r="A224" s="5" t="s">
        <v>267</v>
      </c>
      <c r="B224" s="6" t="n">
        <v>46222</v>
      </c>
      <c r="C224" s="5" t="s">
        <v>43</v>
      </c>
      <c r="D224" s="5" t="s">
        <v>48</v>
      </c>
      <c r="E224" s="7" t="n">
        <v>580</v>
      </c>
    </row>
    <row r="225" customFormat="false" ht="15" hidden="false" customHeight="false" outlineLevel="0" collapsed="false">
      <c r="A225" s="5" t="s">
        <v>268</v>
      </c>
      <c r="B225" s="6" t="n">
        <v>46012</v>
      </c>
      <c r="C225" s="5" t="s">
        <v>57</v>
      </c>
      <c r="D225" s="5" t="s">
        <v>66</v>
      </c>
      <c r="E225" s="7" t="n">
        <v>500</v>
      </c>
    </row>
    <row r="226" customFormat="false" ht="15" hidden="false" customHeight="false" outlineLevel="0" collapsed="false">
      <c r="A226" s="5" t="s">
        <v>269</v>
      </c>
      <c r="B226" s="6" t="n">
        <v>45768</v>
      </c>
      <c r="C226" s="5" t="s">
        <v>57</v>
      </c>
      <c r="D226" s="5" t="s">
        <v>48</v>
      </c>
      <c r="E226" s="7" t="n">
        <v>780</v>
      </c>
    </row>
    <row r="227" customFormat="false" ht="15" hidden="false" customHeight="false" outlineLevel="0" collapsed="false">
      <c r="A227" s="5" t="s">
        <v>270</v>
      </c>
      <c r="B227" s="6" t="n">
        <v>45696</v>
      </c>
      <c r="C227" s="5" t="s">
        <v>39</v>
      </c>
      <c r="D227" s="5" t="s">
        <v>66</v>
      </c>
      <c r="E227" s="7" t="n">
        <v>1160</v>
      </c>
    </row>
    <row r="228" customFormat="false" ht="15" hidden="false" customHeight="false" outlineLevel="0" collapsed="false">
      <c r="A228" s="5" t="s">
        <v>271</v>
      </c>
      <c r="B228" s="6" t="n">
        <v>45856</v>
      </c>
      <c r="C228" s="5" t="s">
        <v>32</v>
      </c>
      <c r="D228" s="5" t="s">
        <v>44</v>
      </c>
      <c r="E228" s="7" t="n">
        <v>550</v>
      </c>
    </row>
    <row r="229" customFormat="false" ht="15" hidden="false" customHeight="false" outlineLevel="0" collapsed="false">
      <c r="A229" s="5" t="s">
        <v>272</v>
      </c>
      <c r="B229" s="6" t="n">
        <v>46120</v>
      </c>
      <c r="C229" s="5" t="s">
        <v>57</v>
      </c>
      <c r="D229" s="5" t="s">
        <v>40</v>
      </c>
      <c r="E229" s="7" t="n">
        <v>350</v>
      </c>
    </row>
    <row r="230" customFormat="false" ht="15" hidden="false" customHeight="false" outlineLevel="0" collapsed="false">
      <c r="A230" s="5" t="s">
        <v>273</v>
      </c>
      <c r="B230" s="6" t="n">
        <v>46102</v>
      </c>
      <c r="C230" s="5" t="s">
        <v>46</v>
      </c>
      <c r="D230" s="5" t="s">
        <v>37</v>
      </c>
      <c r="E230" s="7" t="n">
        <v>370</v>
      </c>
    </row>
    <row r="231" customFormat="false" ht="15" hidden="false" customHeight="false" outlineLevel="0" collapsed="false">
      <c r="A231" s="5" t="s">
        <v>274</v>
      </c>
      <c r="B231" s="6" t="n">
        <v>45896</v>
      </c>
      <c r="C231" s="5" t="s">
        <v>54</v>
      </c>
      <c r="D231" s="5" t="s">
        <v>48</v>
      </c>
      <c r="E231" s="7" t="n">
        <v>290</v>
      </c>
    </row>
    <row r="232" customFormat="false" ht="15" hidden="false" customHeight="false" outlineLevel="0" collapsed="false">
      <c r="A232" s="5" t="s">
        <v>275</v>
      </c>
      <c r="B232" s="6" t="n">
        <v>45972</v>
      </c>
      <c r="C232" s="5" t="s">
        <v>46</v>
      </c>
      <c r="D232" s="5" t="s">
        <v>37</v>
      </c>
      <c r="E232" s="7" t="n">
        <v>260</v>
      </c>
    </row>
    <row r="233" customFormat="false" ht="15" hidden="false" customHeight="false" outlineLevel="0" collapsed="false">
      <c r="A233" s="5" t="s">
        <v>276</v>
      </c>
      <c r="B233" s="6" t="n">
        <v>46122</v>
      </c>
      <c r="C233" s="5" t="s">
        <v>32</v>
      </c>
      <c r="D233" s="5" t="s">
        <v>40</v>
      </c>
      <c r="E233" s="7" t="n">
        <v>480</v>
      </c>
    </row>
    <row r="234" customFormat="false" ht="15" hidden="false" customHeight="false" outlineLevel="0" collapsed="false">
      <c r="A234" s="5" t="s">
        <v>277</v>
      </c>
      <c r="B234" s="6" t="n">
        <v>45957</v>
      </c>
      <c r="C234" s="5" t="s">
        <v>46</v>
      </c>
      <c r="D234" s="5" t="s">
        <v>44</v>
      </c>
      <c r="E234" s="7" t="n">
        <v>1180</v>
      </c>
    </row>
    <row r="235" customFormat="false" ht="15" hidden="false" customHeight="false" outlineLevel="0" collapsed="false">
      <c r="A235" s="5" t="s">
        <v>278</v>
      </c>
      <c r="B235" s="6" t="n">
        <v>45918</v>
      </c>
      <c r="C235" s="5" t="s">
        <v>43</v>
      </c>
      <c r="D235" s="5" t="s">
        <v>48</v>
      </c>
      <c r="E235" s="7" t="n">
        <v>1110</v>
      </c>
    </row>
    <row r="236" customFormat="false" ht="15" hidden="false" customHeight="false" outlineLevel="0" collapsed="false">
      <c r="A236" s="5" t="s">
        <v>279</v>
      </c>
      <c r="B236" s="6" t="n">
        <v>45856</v>
      </c>
      <c r="C236" s="5" t="s">
        <v>71</v>
      </c>
      <c r="D236" s="5" t="s">
        <v>37</v>
      </c>
      <c r="E236" s="7" t="n">
        <v>920</v>
      </c>
    </row>
    <row r="237" customFormat="false" ht="15" hidden="false" customHeight="false" outlineLevel="0" collapsed="false">
      <c r="A237" s="5" t="s">
        <v>280</v>
      </c>
      <c r="B237" s="6" t="n">
        <v>46198</v>
      </c>
      <c r="C237" s="5" t="s">
        <v>43</v>
      </c>
      <c r="D237" s="5" t="s">
        <v>33</v>
      </c>
      <c r="E237" s="7" t="n">
        <v>680</v>
      </c>
    </row>
    <row r="238" customFormat="false" ht="15" hidden="false" customHeight="false" outlineLevel="0" collapsed="false">
      <c r="A238" s="5" t="s">
        <v>281</v>
      </c>
      <c r="B238" s="6" t="n">
        <v>46147</v>
      </c>
      <c r="C238" s="5" t="s">
        <v>57</v>
      </c>
      <c r="D238" s="5" t="s">
        <v>40</v>
      </c>
      <c r="E238" s="7" t="n">
        <v>800</v>
      </c>
    </row>
    <row r="239" customFormat="false" ht="15" hidden="false" customHeight="false" outlineLevel="0" collapsed="false">
      <c r="A239" s="5" t="s">
        <v>282</v>
      </c>
      <c r="B239" s="6" t="n">
        <v>45918</v>
      </c>
      <c r="C239" s="5" t="s">
        <v>39</v>
      </c>
      <c r="D239" s="5" t="s">
        <v>66</v>
      </c>
      <c r="E239" s="7" t="n">
        <v>1150</v>
      </c>
    </row>
    <row r="240" customFormat="false" ht="15" hidden="false" customHeight="false" outlineLevel="0" collapsed="false">
      <c r="A240" s="5" t="s">
        <v>283</v>
      </c>
      <c r="B240" s="6" t="n">
        <v>45732</v>
      </c>
      <c r="C240" s="5" t="s">
        <v>71</v>
      </c>
      <c r="D240" s="5" t="s">
        <v>40</v>
      </c>
      <c r="E240" s="7" t="n">
        <v>1150</v>
      </c>
    </row>
    <row r="241" customFormat="false" ht="15" hidden="false" customHeight="false" outlineLevel="0" collapsed="false">
      <c r="A241" s="5" t="s">
        <v>284</v>
      </c>
      <c r="B241" s="6" t="n">
        <v>46007</v>
      </c>
      <c r="C241" s="5" t="s">
        <v>54</v>
      </c>
      <c r="D241" s="5" t="s">
        <v>48</v>
      </c>
      <c r="E241" s="7" t="n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4" min="3" style="0" width="17"/>
    <col collapsed="false" customWidth="true" hidden="false" outlineLevel="0" max="6" min="6" style="0" width="14"/>
    <col collapsed="false" customWidth="true" hidden="false" outlineLevel="0" max="7" min="7" style="0" width="32"/>
    <col collapsed="false" customWidth="true" hidden="false" outlineLevel="0" max="8" min="8" style="0" width="17"/>
  </cols>
  <sheetData>
    <row r="1" customFormat="false" ht="15" hidden="false" customHeight="false" outlineLevel="0" collapsed="false">
      <c r="A1" s="3" t="s">
        <v>285</v>
      </c>
      <c r="B1" s="3" t="s">
        <v>286</v>
      </c>
      <c r="C1" s="3" t="s">
        <v>287</v>
      </c>
      <c r="D1" s="3" t="s">
        <v>288</v>
      </c>
      <c r="F1" s="3" t="s">
        <v>285</v>
      </c>
      <c r="G1" s="3" t="s">
        <v>289</v>
      </c>
      <c r="H1" s="3" t="s">
        <v>288</v>
      </c>
    </row>
    <row r="2" customFormat="false" ht="15" hidden="false" customHeight="false" outlineLevel="0" collapsed="false">
      <c r="A2" s="5" t="n">
        <v>2025</v>
      </c>
      <c r="B2" s="8" t="n">
        <v>45658</v>
      </c>
      <c r="C2" s="7" t="n">
        <f aca="false">SUMIFS(Data!$E$2:$E$241,Data!$B$2:$B$241,"&gt;="&amp;B2,Data!$B$2:$B$241,"&lt;="&amp;EOMONTH(B2,0))</f>
        <v>9490</v>
      </c>
      <c r="D2" s="5" t="n">
        <f aca="false">COUNTIFS(Data!$B$2:$B$241,"&gt;="&amp;B2,Data!$B$2:$B$241,"&lt;="&amp;EOMONTH(B2,0))</f>
        <v>10</v>
      </c>
      <c r="F2" s="5" t="n">
        <v>2025</v>
      </c>
      <c r="G2" s="7" t="n">
        <f aca="false">SUMIFS(Data!$E$2:$E$241,Data!$B$2:$B$241,"&gt;="&amp;DATE(F2,1,1),Data!$B$2:$B$241,"&lt;="&amp;DATE(F2,12,31))</f>
        <v>98490</v>
      </c>
      <c r="H2" s="5" t="n">
        <f aca="false">COUNTIFS(Data!$B$2:$B$241,"&gt;="&amp;DATE(F2,1,1),Data!$B$2:$B$241,"&lt;="&amp;DATE(F2,12,31))</f>
        <v>127</v>
      </c>
    </row>
    <row r="3" customFormat="false" ht="15" hidden="false" customHeight="false" outlineLevel="0" collapsed="false">
      <c r="A3" s="5" t="n">
        <v>2025</v>
      </c>
      <c r="B3" s="8" t="n">
        <v>45689</v>
      </c>
      <c r="C3" s="7" t="n">
        <f aca="false">SUMIFS(Data!$E$2:$E$241,Data!$B$2:$B$241,"&gt;="&amp;B3,Data!$B$2:$B$241,"&lt;="&amp;EOMONTH(B3,0))</f>
        <v>9820</v>
      </c>
      <c r="D3" s="5" t="n">
        <f aca="false">COUNTIFS(Data!$B$2:$B$241,"&gt;="&amp;B3,Data!$B$2:$B$241,"&lt;="&amp;EOMONTH(B3,0))</f>
        <v>12</v>
      </c>
      <c r="F3" s="5" t="n">
        <v>2026</v>
      </c>
      <c r="G3" s="7" t="n">
        <f aca="false">SUMIFS(Data!$E$2:$E$241,Data!$B$2:$B$241,"&gt;="&amp;DATE(F3,1,1),Data!$B$2:$B$241,"&lt;="&amp;DATE(F3,12,31))</f>
        <v>93630</v>
      </c>
      <c r="H3" s="5" t="n">
        <f aca="false">COUNTIFS(Data!$B$2:$B$241,"&gt;="&amp;DATE(F3,1,1),Data!$B$2:$B$241,"&lt;="&amp;DATE(F3,12,31))</f>
        <v>113</v>
      </c>
    </row>
    <row r="4" customFormat="false" ht="15" hidden="false" customHeight="false" outlineLevel="0" collapsed="false">
      <c r="A4" s="5" t="n">
        <v>2025</v>
      </c>
      <c r="B4" s="8" t="n">
        <v>45717</v>
      </c>
      <c r="C4" s="7" t="n">
        <f aca="false">SUMIFS(Data!$E$2:$E$241,Data!$B$2:$B$241,"&gt;="&amp;B4,Data!$B$2:$B$241,"&lt;="&amp;EOMONTH(B4,0))</f>
        <v>8960</v>
      </c>
      <c r="D4" s="5" t="n">
        <f aca="false">COUNTIFS(Data!$B$2:$B$241,"&gt;="&amp;B4,Data!$B$2:$B$241,"&lt;="&amp;EOMONTH(B4,0))</f>
        <v>13</v>
      </c>
      <c r="F4" s="9" t="s">
        <v>290</v>
      </c>
      <c r="G4" s="10" t="n">
        <f aca="false">SUM(G2:G3)</f>
        <v>192120</v>
      </c>
      <c r="H4" s="11" t="n">
        <f aca="false">SUM(H2:H3)</f>
        <v>240</v>
      </c>
    </row>
    <row r="5" customFormat="false" ht="15" hidden="false" customHeight="false" outlineLevel="0" collapsed="false">
      <c r="A5" s="5" t="n">
        <v>2025</v>
      </c>
      <c r="B5" s="8" t="n">
        <v>45748</v>
      </c>
      <c r="C5" s="7" t="n">
        <f aca="false">SUMIFS(Data!$E$2:$E$241,Data!$B$2:$B$241,"&gt;="&amp;B5,Data!$B$2:$B$241,"&lt;="&amp;EOMONTH(B5,0))</f>
        <v>5180</v>
      </c>
      <c r="D5" s="5" t="n">
        <f aca="false">COUNTIFS(Data!$B$2:$B$241,"&gt;="&amp;B5,Data!$B$2:$B$241,"&lt;="&amp;EOMONTH(B5,0))</f>
        <v>8</v>
      </c>
    </row>
    <row r="6" customFormat="false" ht="15" hidden="false" customHeight="false" outlineLevel="0" collapsed="false">
      <c r="A6" s="5" t="n">
        <v>2025</v>
      </c>
      <c r="B6" s="8" t="n">
        <v>45778</v>
      </c>
      <c r="C6" s="7" t="n">
        <f aca="false">SUMIFS(Data!$E$2:$E$241,Data!$B$2:$B$241,"&gt;="&amp;B6,Data!$B$2:$B$241,"&lt;="&amp;EOMONTH(B6,0))</f>
        <v>8500</v>
      </c>
      <c r="D6" s="5" t="n">
        <f aca="false">COUNTIFS(Data!$B$2:$B$241,"&gt;="&amp;B6,Data!$B$2:$B$241,"&lt;="&amp;EOMONTH(B6,0))</f>
        <v>10</v>
      </c>
    </row>
    <row r="7" customFormat="false" ht="15" hidden="false" customHeight="false" outlineLevel="0" collapsed="false">
      <c r="A7" s="5" t="n">
        <v>2025</v>
      </c>
      <c r="B7" s="8" t="n">
        <v>45809</v>
      </c>
      <c r="C7" s="7" t="n">
        <f aca="false">SUMIFS(Data!$E$2:$E$241,Data!$B$2:$B$241,"&gt;="&amp;B7,Data!$B$2:$B$241,"&lt;="&amp;EOMONTH(B7,0))</f>
        <v>5510</v>
      </c>
      <c r="D7" s="5" t="n">
        <f aca="false">COUNTIFS(Data!$B$2:$B$241,"&gt;="&amp;B7,Data!$B$2:$B$241,"&lt;="&amp;EOMONTH(B7,0))</f>
        <v>9</v>
      </c>
    </row>
    <row r="8" customFormat="false" ht="15" hidden="false" customHeight="false" outlineLevel="0" collapsed="false">
      <c r="A8" s="5" t="n">
        <v>2025</v>
      </c>
      <c r="B8" s="8" t="n">
        <v>45839</v>
      </c>
      <c r="C8" s="7" t="n">
        <f aca="false">SUMIFS(Data!$E$2:$E$241,Data!$B$2:$B$241,"&gt;="&amp;B8,Data!$B$2:$B$241,"&lt;="&amp;EOMONTH(B8,0))</f>
        <v>10320</v>
      </c>
      <c r="D8" s="5" t="n">
        <f aca="false">COUNTIFS(Data!$B$2:$B$241,"&gt;="&amp;B8,Data!$B$2:$B$241,"&lt;="&amp;EOMONTH(B8,0))</f>
        <v>15</v>
      </c>
    </row>
    <row r="9" customFormat="false" ht="15" hidden="false" customHeight="false" outlineLevel="0" collapsed="false">
      <c r="A9" s="5" t="n">
        <v>2025</v>
      </c>
      <c r="B9" s="8" t="n">
        <v>45870</v>
      </c>
      <c r="C9" s="7" t="n">
        <f aca="false">SUMIFS(Data!$E$2:$E$241,Data!$B$2:$B$241,"&gt;="&amp;B9,Data!$B$2:$B$241,"&lt;="&amp;EOMONTH(B9,0))</f>
        <v>6250</v>
      </c>
      <c r="D9" s="5" t="n">
        <f aca="false">COUNTIFS(Data!$B$2:$B$241,"&gt;="&amp;B9,Data!$B$2:$B$241,"&lt;="&amp;EOMONTH(B9,0))</f>
        <v>9</v>
      </c>
    </row>
    <row r="10" customFormat="false" ht="15" hidden="false" customHeight="false" outlineLevel="0" collapsed="false">
      <c r="A10" s="5" t="n">
        <v>2025</v>
      </c>
      <c r="B10" s="8" t="n">
        <v>45901</v>
      </c>
      <c r="C10" s="7" t="n">
        <f aca="false">SUMIFS(Data!$E$2:$E$241,Data!$B$2:$B$241,"&gt;="&amp;B10,Data!$B$2:$B$241,"&lt;="&amp;EOMONTH(B10,0))</f>
        <v>7150</v>
      </c>
      <c r="D10" s="5" t="n">
        <f aca="false">COUNTIFS(Data!$B$2:$B$241,"&gt;="&amp;B10,Data!$B$2:$B$241,"&lt;="&amp;EOMONTH(B10,0))</f>
        <v>9</v>
      </c>
    </row>
    <row r="11" customFormat="false" ht="15" hidden="false" customHeight="false" outlineLevel="0" collapsed="false">
      <c r="A11" s="5" t="n">
        <v>2025</v>
      </c>
      <c r="B11" s="8" t="n">
        <v>45931</v>
      </c>
      <c r="C11" s="7" t="n">
        <f aca="false">SUMIFS(Data!$E$2:$E$241,Data!$B$2:$B$241,"&gt;="&amp;B11,Data!$B$2:$B$241,"&lt;="&amp;EOMONTH(B11,0))</f>
        <v>9610</v>
      </c>
      <c r="D11" s="5" t="n">
        <f aca="false">COUNTIFS(Data!$B$2:$B$241,"&gt;="&amp;B11,Data!$B$2:$B$241,"&lt;="&amp;EOMONTH(B11,0))</f>
        <v>10</v>
      </c>
    </row>
    <row r="12" customFormat="false" ht="15" hidden="false" customHeight="false" outlineLevel="0" collapsed="false">
      <c r="A12" s="5" t="n">
        <v>2025</v>
      </c>
      <c r="B12" s="8" t="n">
        <v>45962</v>
      </c>
      <c r="C12" s="7" t="n">
        <f aca="false">SUMIFS(Data!$E$2:$E$241,Data!$B$2:$B$241,"&gt;="&amp;B12,Data!$B$2:$B$241,"&lt;="&amp;EOMONTH(B12,0))</f>
        <v>10320</v>
      </c>
      <c r="D12" s="5" t="n">
        <f aca="false">COUNTIFS(Data!$B$2:$B$241,"&gt;="&amp;B12,Data!$B$2:$B$241,"&lt;="&amp;EOMONTH(B12,0))</f>
        <v>12</v>
      </c>
    </row>
    <row r="13" customFormat="false" ht="15" hidden="false" customHeight="false" outlineLevel="0" collapsed="false">
      <c r="A13" s="5" t="n">
        <v>2025</v>
      </c>
      <c r="B13" s="8" t="n">
        <v>45992</v>
      </c>
      <c r="C13" s="7" t="n">
        <f aca="false">SUMIFS(Data!$E$2:$E$241,Data!$B$2:$B$241,"&gt;="&amp;B13,Data!$B$2:$B$241,"&lt;="&amp;EOMONTH(B13,0))</f>
        <v>7380</v>
      </c>
      <c r="D13" s="5" t="n">
        <f aca="false">COUNTIFS(Data!$B$2:$B$241,"&gt;="&amp;B13,Data!$B$2:$B$241,"&lt;="&amp;EOMONTH(B13,0))</f>
        <v>10</v>
      </c>
    </row>
    <row r="14" customFormat="false" ht="15" hidden="false" customHeight="false" outlineLevel="0" collapsed="false">
      <c r="A14" s="5" t="n">
        <v>2026</v>
      </c>
      <c r="B14" s="8" t="n">
        <v>46023</v>
      </c>
      <c r="C14" s="7" t="n">
        <f aca="false">SUMIFS(Data!$E$2:$E$241,Data!$B$2:$B$241,"&gt;="&amp;B14,Data!$B$2:$B$241,"&lt;="&amp;EOMONTH(B14,0))</f>
        <v>16350</v>
      </c>
      <c r="D14" s="5" t="n">
        <f aca="false">COUNTIFS(Data!$B$2:$B$241,"&gt;="&amp;B14,Data!$B$2:$B$241,"&lt;="&amp;EOMONTH(B14,0))</f>
        <v>18</v>
      </c>
    </row>
    <row r="15" customFormat="false" ht="15" hidden="false" customHeight="false" outlineLevel="0" collapsed="false">
      <c r="A15" s="5" t="n">
        <v>2026</v>
      </c>
      <c r="B15" s="8" t="n">
        <v>46054</v>
      </c>
      <c r="C15" s="7" t="n">
        <f aca="false">SUMIFS(Data!$E$2:$E$241,Data!$B$2:$B$241,"&gt;="&amp;B15,Data!$B$2:$B$241,"&lt;="&amp;EOMONTH(B15,0))</f>
        <v>11180</v>
      </c>
      <c r="D15" s="5" t="n">
        <f aca="false">COUNTIFS(Data!$B$2:$B$241,"&gt;="&amp;B15,Data!$B$2:$B$241,"&lt;="&amp;EOMONTH(B15,0))</f>
        <v>13</v>
      </c>
    </row>
    <row r="16" customFormat="false" ht="15" hidden="false" customHeight="false" outlineLevel="0" collapsed="false">
      <c r="A16" s="5" t="n">
        <v>2026</v>
      </c>
      <c r="B16" s="8" t="n">
        <v>46082</v>
      </c>
      <c r="C16" s="7" t="n">
        <f aca="false">SUMIFS(Data!$E$2:$E$241,Data!$B$2:$B$241,"&gt;="&amp;B16,Data!$B$2:$B$241,"&lt;="&amp;EOMONTH(B16,0))</f>
        <v>9270</v>
      </c>
      <c r="D16" s="5" t="n">
        <f aca="false">COUNTIFS(Data!$B$2:$B$241,"&gt;="&amp;B16,Data!$B$2:$B$241,"&lt;="&amp;EOMONTH(B16,0))</f>
        <v>13</v>
      </c>
    </row>
    <row r="17" customFormat="false" ht="15" hidden="false" customHeight="false" outlineLevel="0" collapsed="false">
      <c r="A17" s="5" t="n">
        <v>2026</v>
      </c>
      <c r="B17" s="8" t="n">
        <v>46113</v>
      </c>
      <c r="C17" s="7" t="n">
        <f aca="false">SUMIFS(Data!$E$2:$E$241,Data!$B$2:$B$241,"&gt;="&amp;B17,Data!$B$2:$B$241,"&lt;="&amp;EOMONTH(B17,0))</f>
        <v>7540</v>
      </c>
      <c r="D17" s="5" t="n">
        <f aca="false">COUNTIFS(Data!$B$2:$B$241,"&gt;="&amp;B17,Data!$B$2:$B$241,"&lt;="&amp;EOMONTH(B17,0))</f>
        <v>12</v>
      </c>
    </row>
    <row r="18" customFormat="false" ht="15" hidden="false" customHeight="false" outlineLevel="0" collapsed="false">
      <c r="A18" s="5" t="n">
        <v>2026</v>
      </c>
      <c r="B18" s="8" t="n">
        <v>46143</v>
      </c>
      <c r="C18" s="7" t="n">
        <f aca="false">SUMIFS(Data!$E$2:$E$241,Data!$B$2:$B$241,"&gt;="&amp;B18,Data!$B$2:$B$241,"&lt;="&amp;EOMONTH(B18,0))</f>
        <v>11460</v>
      </c>
      <c r="D18" s="5" t="n">
        <f aca="false">COUNTIFS(Data!$B$2:$B$241,"&gt;="&amp;B18,Data!$B$2:$B$241,"&lt;="&amp;EOMONTH(B18,0))</f>
        <v>14</v>
      </c>
    </row>
    <row r="19" customFormat="false" ht="15" hidden="false" customHeight="false" outlineLevel="0" collapsed="false">
      <c r="A19" s="5" t="n">
        <v>2026</v>
      </c>
      <c r="B19" s="8" t="n">
        <v>46174</v>
      </c>
      <c r="C19" s="7" t="n">
        <f aca="false">SUMIFS(Data!$E$2:$E$241,Data!$B$2:$B$241,"&gt;="&amp;B19,Data!$B$2:$B$241,"&lt;="&amp;EOMONTH(B19,0))</f>
        <v>10170</v>
      </c>
      <c r="D19" s="5" t="n">
        <f aca="false">COUNTIFS(Data!$B$2:$B$241,"&gt;="&amp;B19,Data!$B$2:$B$241,"&lt;="&amp;EOMONTH(B19,0))</f>
        <v>12</v>
      </c>
    </row>
    <row r="20" customFormat="false" ht="15" hidden="false" customHeight="false" outlineLevel="0" collapsed="false">
      <c r="A20" s="5" t="n">
        <v>2026</v>
      </c>
      <c r="B20" s="8" t="n">
        <v>46204</v>
      </c>
      <c r="C20" s="7" t="n">
        <f aca="false">SUMIFS(Data!$E$2:$E$241,Data!$B$2:$B$241,"&gt;="&amp;B20,Data!$B$2:$B$241,"&lt;="&amp;EOMONTH(B20,0))</f>
        <v>13780</v>
      </c>
      <c r="D20" s="5" t="n">
        <f aca="false">COUNTIFS(Data!$B$2:$B$241,"&gt;="&amp;B20,Data!$B$2:$B$241,"&lt;="&amp;EOMONTH(B20,0))</f>
        <v>16</v>
      </c>
    </row>
    <row r="21" customFormat="false" ht="15" hidden="false" customHeight="false" outlineLevel="0" collapsed="false">
      <c r="A21" s="5" t="n">
        <v>2026</v>
      </c>
      <c r="B21" s="8" t="n">
        <v>46235</v>
      </c>
      <c r="C21" s="7" t="n">
        <f aca="false">SUMIFS(Data!$E$2:$E$241,Data!$B$2:$B$241,"&gt;="&amp;B21,Data!$B$2:$B$241,"&lt;="&amp;EOMONTH(B21,0))</f>
        <v>4320</v>
      </c>
      <c r="D21" s="5" t="n">
        <f aca="false">COUNTIFS(Data!$B$2:$B$241,"&gt;="&amp;B21,Data!$B$2:$B$241,"&lt;="&amp;EOMONTH(B21,0))</f>
        <v>5</v>
      </c>
    </row>
    <row r="22" customFormat="false" ht="15" hidden="false" customHeight="false" outlineLevel="0" collapsed="false">
      <c r="A22" s="5" t="n">
        <v>2026</v>
      </c>
      <c r="B22" s="8" t="n">
        <v>46266</v>
      </c>
      <c r="C22" s="7" t="n">
        <f aca="false">SUMIFS(Data!$E$2:$E$241,Data!$B$2:$B$241,"&gt;="&amp;B22,Data!$B$2:$B$241,"&lt;="&amp;EOMONTH(B22,0))</f>
        <v>9560</v>
      </c>
      <c r="D22" s="5" t="n">
        <f aca="false">COUNTIFS(Data!$B$2:$B$241,"&gt;="&amp;B22,Data!$B$2:$B$241,"&lt;="&amp;EOMONTH(B22,0))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5" min="4" style="0" width="17"/>
  </cols>
  <sheetData>
    <row r="1" customFormat="false" ht="15" hidden="false" customHeight="false" outlineLevel="0" collapsed="false">
      <c r="A1" s="3" t="s">
        <v>285</v>
      </c>
      <c r="B1" s="3" t="s">
        <v>291</v>
      </c>
      <c r="C1" s="3" t="s">
        <v>292</v>
      </c>
      <c r="D1" s="3" t="s">
        <v>293</v>
      </c>
      <c r="E1" s="3" t="s">
        <v>287</v>
      </c>
    </row>
    <row r="2" customFormat="false" ht="15" hidden="false" customHeight="false" outlineLevel="0" collapsed="false">
      <c r="A2" s="5" t="n">
        <v>2025</v>
      </c>
      <c r="B2" s="5" t="s">
        <v>294</v>
      </c>
      <c r="C2" s="6" t="n">
        <v>45658</v>
      </c>
      <c r="D2" s="6" t="n">
        <f aca="false">EOMONTH(C2,2)</f>
        <v>45747</v>
      </c>
      <c r="E2" s="7" t="n">
        <f aca="false">SUMIFS(Data!$E$2:$E$241,Data!$B$2:$B$241,"&gt;="&amp;C2,Data!$B$2:$B$241,"&lt;="&amp;D2)</f>
        <v>28270</v>
      </c>
    </row>
    <row r="3" customFormat="false" ht="15" hidden="false" customHeight="false" outlineLevel="0" collapsed="false">
      <c r="A3" s="5" t="n">
        <v>2025</v>
      </c>
      <c r="B3" s="5" t="s">
        <v>295</v>
      </c>
      <c r="C3" s="6" t="n">
        <v>45748</v>
      </c>
      <c r="D3" s="6" t="n">
        <f aca="false">EOMONTH(C3,2)</f>
        <v>45838</v>
      </c>
      <c r="E3" s="7" t="n">
        <f aca="false">SUMIFS(Data!$E$2:$E$241,Data!$B$2:$B$241,"&gt;="&amp;C3,Data!$B$2:$B$241,"&lt;="&amp;D3)</f>
        <v>19190</v>
      </c>
    </row>
    <row r="4" customFormat="false" ht="15" hidden="false" customHeight="false" outlineLevel="0" collapsed="false">
      <c r="A4" s="5" t="n">
        <v>2025</v>
      </c>
      <c r="B4" s="5" t="s">
        <v>296</v>
      </c>
      <c r="C4" s="6" t="n">
        <v>45839</v>
      </c>
      <c r="D4" s="6" t="n">
        <f aca="false">EOMONTH(C4,2)</f>
        <v>45930</v>
      </c>
      <c r="E4" s="7" t="n">
        <f aca="false">SUMIFS(Data!$E$2:$E$241,Data!$B$2:$B$241,"&gt;="&amp;C4,Data!$B$2:$B$241,"&lt;="&amp;D4)</f>
        <v>23720</v>
      </c>
    </row>
    <row r="5" customFormat="false" ht="15" hidden="false" customHeight="false" outlineLevel="0" collapsed="false">
      <c r="A5" s="5" t="n">
        <v>2025</v>
      </c>
      <c r="B5" s="5" t="s">
        <v>297</v>
      </c>
      <c r="C5" s="6" t="n">
        <v>45931</v>
      </c>
      <c r="D5" s="6" t="n">
        <f aca="false">EOMONTH(C5,2)</f>
        <v>46022</v>
      </c>
      <c r="E5" s="7" t="n">
        <f aca="false">SUMIFS(Data!$E$2:$E$241,Data!$B$2:$B$241,"&gt;="&amp;C5,Data!$B$2:$B$241,"&lt;="&amp;D5)</f>
        <v>27310</v>
      </c>
    </row>
    <row r="6" customFormat="false" ht="15" hidden="false" customHeight="false" outlineLevel="0" collapsed="false">
      <c r="A6" s="5" t="n">
        <v>2026</v>
      </c>
      <c r="B6" s="5" t="s">
        <v>294</v>
      </c>
      <c r="C6" s="6" t="n">
        <v>46023</v>
      </c>
      <c r="D6" s="6" t="n">
        <f aca="false">EOMONTH(C6,2)</f>
        <v>46112</v>
      </c>
      <c r="E6" s="7" t="n">
        <f aca="false">SUMIFS(Data!$E$2:$E$241,Data!$B$2:$B$241,"&gt;="&amp;C6,Data!$B$2:$B$241,"&lt;="&amp;D6)</f>
        <v>36800</v>
      </c>
    </row>
    <row r="7" customFormat="false" ht="15" hidden="false" customHeight="false" outlineLevel="0" collapsed="false">
      <c r="A7" s="5" t="n">
        <v>2026</v>
      </c>
      <c r="B7" s="5" t="s">
        <v>295</v>
      </c>
      <c r="C7" s="6" t="n">
        <v>46113</v>
      </c>
      <c r="D7" s="6" t="n">
        <f aca="false">EOMONTH(C7,2)</f>
        <v>46203</v>
      </c>
      <c r="E7" s="7" t="n">
        <f aca="false">SUMIFS(Data!$E$2:$E$241,Data!$B$2:$B$241,"&gt;="&amp;C7,Data!$B$2:$B$241,"&lt;="&amp;D7)</f>
        <v>29170</v>
      </c>
    </row>
    <row r="8" customFormat="false" ht="15" hidden="false" customHeight="false" outlineLevel="0" collapsed="false">
      <c r="A8" s="5" t="n">
        <v>2026</v>
      </c>
      <c r="B8" s="5" t="s">
        <v>296</v>
      </c>
      <c r="C8" s="6" t="n">
        <v>46204</v>
      </c>
      <c r="D8" s="6" t="n">
        <f aca="false">EOMONTH(C8,2)</f>
        <v>46295</v>
      </c>
      <c r="E8" s="7" t="n">
        <f aca="false">SUMIFS(Data!$E$2:$E$241,Data!$B$2:$B$241,"&gt;="&amp;C8,Data!$B$2:$B$241,"&lt;="&amp;D8)</f>
        <v>27660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3" min="3" style="0" width="18"/>
    <col collapsed="false" customWidth="true" hidden="false" outlineLevel="0" max="4" min="4" style="0" width="41"/>
  </cols>
  <sheetData>
    <row r="1" customFormat="false" ht="15" hidden="false" customHeight="false" outlineLevel="0" collapsed="false">
      <c r="A1" s="3" t="s">
        <v>286</v>
      </c>
      <c r="B1" s="3" t="s">
        <v>298</v>
      </c>
      <c r="C1" s="3" t="s">
        <v>299</v>
      </c>
      <c r="D1" s="3" t="s">
        <v>300</v>
      </c>
    </row>
    <row r="2" customFormat="false" ht="15" hidden="false" customHeight="false" outlineLevel="0" collapsed="false">
      <c r="A2" s="12" t="n">
        <v>45658</v>
      </c>
      <c r="B2" s="7" t="n">
        <f aca="false">SUMIFS(Data!$E$2:$E$241,Data!$B$2:$B$241,"&gt;="&amp;A2,Data!$B$2:$B$241,"&lt;="&amp;EOMONTH(A2,0))</f>
        <v>9490</v>
      </c>
      <c r="C2" s="5" t="n">
        <f aca="false">COUNTIFS(Data!$B$2:$B$241,"&gt;="&amp;A2,Data!$B$2:$B$241,"&lt;="&amp;EOMONTH(A2,0))</f>
        <v>10</v>
      </c>
      <c r="D2" s="13" t="n">
        <f aca="false">IF(C2=0,0,B2/C2)</f>
        <v>949</v>
      </c>
    </row>
    <row r="3" customFormat="false" ht="15" hidden="false" customHeight="false" outlineLevel="0" collapsed="false">
      <c r="A3" s="12" t="n">
        <v>45689</v>
      </c>
      <c r="B3" s="7" t="n">
        <f aca="false">SUMIFS(Data!$E$2:$E$241,Data!$B$2:$B$241,"&gt;="&amp;A3,Data!$B$2:$B$241,"&lt;="&amp;EOMONTH(A3,0))</f>
        <v>9820</v>
      </c>
      <c r="C3" s="5" t="n">
        <f aca="false">COUNTIFS(Data!$B$2:$B$241,"&gt;="&amp;A3,Data!$B$2:$B$241,"&lt;="&amp;EOMONTH(A3,0))</f>
        <v>12</v>
      </c>
      <c r="D3" s="13" t="n">
        <f aca="false">IF(C3=0,0,B3/C3)</f>
        <v>818.333333333333</v>
      </c>
    </row>
    <row r="4" customFormat="false" ht="15" hidden="false" customHeight="false" outlineLevel="0" collapsed="false">
      <c r="A4" s="12" t="n">
        <v>45717</v>
      </c>
      <c r="B4" s="7" t="n">
        <f aca="false">SUMIFS(Data!$E$2:$E$241,Data!$B$2:$B$241,"&gt;="&amp;A4,Data!$B$2:$B$241,"&lt;="&amp;EOMONTH(A4,0))</f>
        <v>8960</v>
      </c>
      <c r="C4" s="5" t="n">
        <f aca="false">COUNTIFS(Data!$B$2:$B$241,"&gt;="&amp;A4,Data!$B$2:$B$241,"&lt;="&amp;EOMONTH(A4,0))</f>
        <v>13</v>
      </c>
      <c r="D4" s="13" t="n">
        <f aca="false">IF(C4=0,0,B4/C4)</f>
        <v>689.230769230769</v>
      </c>
    </row>
    <row r="5" customFormat="false" ht="15" hidden="false" customHeight="false" outlineLevel="0" collapsed="false">
      <c r="A5" s="12" t="n">
        <v>45748</v>
      </c>
      <c r="B5" s="7" t="n">
        <f aca="false">SUMIFS(Data!$E$2:$E$241,Data!$B$2:$B$241,"&gt;="&amp;A5,Data!$B$2:$B$241,"&lt;="&amp;EOMONTH(A5,0))</f>
        <v>5180</v>
      </c>
      <c r="C5" s="5" t="n">
        <f aca="false">COUNTIFS(Data!$B$2:$B$241,"&gt;="&amp;A5,Data!$B$2:$B$241,"&lt;="&amp;EOMONTH(A5,0))</f>
        <v>8</v>
      </c>
      <c r="D5" s="13" t="n">
        <f aca="false">IF(C5=0,0,B5/C5)</f>
        <v>647.5</v>
      </c>
    </row>
    <row r="6" customFormat="false" ht="15" hidden="false" customHeight="false" outlineLevel="0" collapsed="false">
      <c r="A6" s="12" t="n">
        <v>45778</v>
      </c>
      <c r="B6" s="7" t="n">
        <f aca="false">SUMIFS(Data!$E$2:$E$241,Data!$B$2:$B$241,"&gt;="&amp;A6,Data!$B$2:$B$241,"&lt;="&amp;EOMONTH(A6,0))</f>
        <v>8500</v>
      </c>
      <c r="C6" s="5" t="n">
        <f aca="false">COUNTIFS(Data!$B$2:$B$241,"&gt;="&amp;A6,Data!$B$2:$B$241,"&lt;="&amp;EOMONTH(A6,0))</f>
        <v>10</v>
      </c>
      <c r="D6" s="13" t="n">
        <f aca="false">IF(C6=0,0,B6/C6)</f>
        <v>850</v>
      </c>
    </row>
    <row r="7" customFormat="false" ht="15" hidden="false" customHeight="false" outlineLevel="0" collapsed="false">
      <c r="A7" s="12" t="n">
        <v>45809</v>
      </c>
      <c r="B7" s="7" t="n">
        <f aca="false">SUMIFS(Data!$E$2:$E$241,Data!$B$2:$B$241,"&gt;="&amp;A7,Data!$B$2:$B$241,"&lt;="&amp;EOMONTH(A7,0))</f>
        <v>5510</v>
      </c>
      <c r="C7" s="5" t="n">
        <f aca="false">COUNTIFS(Data!$B$2:$B$241,"&gt;="&amp;A7,Data!$B$2:$B$241,"&lt;="&amp;EOMONTH(A7,0))</f>
        <v>9</v>
      </c>
      <c r="D7" s="13" t="n">
        <f aca="false">IF(C7=0,0,B7/C7)</f>
        <v>612.222222222222</v>
      </c>
    </row>
    <row r="8" customFormat="false" ht="15" hidden="false" customHeight="false" outlineLevel="0" collapsed="false">
      <c r="A8" s="12" t="n">
        <v>45839</v>
      </c>
      <c r="B8" s="7" t="n">
        <f aca="false">SUMIFS(Data!$E$2:$E$241,Data!$B$2:$B$241,"&gt;="&amp;A8,Data!$B$2:$B$241,"&lt;="&amp;EOMONTH(A8,0))</f>
        <v>10320</v>
      </c>
      <c r="C8" s="5" t="n">
        <f aca="false">COUNTIFS(Data!$B$2:$B$241,"&gt;="&amp;A8,Data!$B$2:$B$241,"&lt;="&amp;EOMONTH(A8,0))</f>
        <v>15</v>
      </c>
      <c r="D8" s="13" t="n">
        <f aca="false">IF(C8=0,0,B8/C8)</f>
        <v>688</v>
      </c>
    </row>
    <row r="9" customFormat="false" ht="15" hidden="false" customHeight="false" outlineLevel="0" collapsed="false">
      <c r="A9" s="12" t="n">
        <v>45870</v>
      </c>
      <c r="B9" s="7" t="n">
        <f aca="false">SUMIFS(Data!$E$2:$E$241,Data!$B$2:$B$241,"&gt;="&amp;A9,Data!$B$2:$B$241,"&lt;="&amp;EOMONTH(A9,0))</f>
        <v>6250</v>
      </c>
      <c r="C9" s="5" t="n">
        <f aca="false">COUNTIFS(Data!$B$2:$B$241,"&gt;="&amp;A9,Data!$B$2:$B$241,"&lt;="&amp;EOMONTH(A9,0))</f>
        <v>9</v>
      </c>
      <c r="D9" s="13" t="n">
        <f aca="false">IF(C9=0,0,B9/C9)</f>
        <v>694.444444444445</v>
      </c>
    </row>
    <row r="10" customFormat="false" ht="15" hidden="false" customHeight="false" outlineLevel="0" collapsed="false">
      <c r="A10" s="12" t="n">
        <v>45901</v>
      </c>
      <c r="B10" s="7" t="n">
        <f aca="false">SUMIFS(Data!$E$2:$E$241,Data!$B$2:$B$241,"&gt;="&amp;A10,Data!$B$2:$B$241,"&lt;="&amp;EOMONTH(A10,0))</f>
        <v>7150</v>
      </c>
      <c r="C10" s="5" t="n">
        <f aca="false">COUNTIFS(Data!$B$2:$B$241,"&gt;="&amp;A10,Data!$B$2:$B$241,"&lt;="&amp;EOMONTH(A10,0))</f>
        <v>9</v>
      </c>
      <c r="D10" s="13" t="n">
        <f aca="false">IF(C10=0,0,B10/C10)</f>
        <v>794.444444444445</v>
      </c>
    </row>
    <row r="11" customFormat="false" ht="15" hidden="false" customHeight="false" outlineLevel="0" collapsed="false">
      <c r="A11" s="12" t="n">
        <v>45931</v>
      </c>
      <c r="B11" s="7" t="n">
        <f aca="false">SUMIFS(Data!$E$2:$E$241,Data!$B$2:$B$241,"&gt;="&amp;A11,Data!$B$2:$B$241,"&lt;="&amp;EOMONTH(A11,0))</f>
        <v>9610</v>
      </c>
      <c r="C11" s="5" t="n">
        <f aca="false">COUNTIFS(Data!$B$2:$B$241,"&gt;="&amp;A11,Data!$B$2:$B$241,"&lt;="&amp;EOMONTH(A11,0))</f>
        <v>10</v>
      </c>
      <c r="D11" s="13" t="n">
        <f aca="false">IF(C11=0,0,B11/C11)</f>
        <v>961</v>
      </c>
    </row>
    <row r="12" customFormat="false" ht="15" hidden="false" customHeight="false" outlineLevel="0" collapsed="false">
      <c r="A12" s="12" t="n">
        <v>45962</v>
      </c>
      <c r="B12" s="7" t="n">
        <f aca="false">SUMIFS(Data!$E$2:$E$241,Data!$B$2:$B$241,"&gt;="&amp;A12,Data!$B$2:$B$241,"&lt;="&amp;EOMONTH(A12,0))</f>
        <v>10320</v>
      </c>
      <c r="C12" s="5" t="n">
        <f aca="false">COUNTIFS(Data!$B$2:$B$241,"&gt;="&amp;A12,Data!$B$2:$B$241,"&lt;="&amp;EOMONTH(A12,0))</f>
        <v>12</v>
      </c>
      <c r="D12" s="13" t="n">
        <f aca="false">IF(C12=0,0,B12/C12)</f>
        <v>860</v>
      </c>
    </row>
    <row r="13" customFormat="false" ht="15" hidden="false" customHeight="false" outlineLevel="0" collapsed="false">
      <c r="A13" s="12" t="n">
        <v>45992</v>
      </c>
      <c r="B13" s="7" t="n">
        <f aca="false">SUMIFS(Data!$E$2:$E$241,Data!$B$2:$B$241,"&gt;="&amp;A13,Data!$B$2:$B$241,"&lt;="&amp;EOMONTH(A13,0))</f>
        <v>7380</v>
      </c>
      <c r="C13" s="5" t="n">
        <f aca="false">COUNTIFS(Data!$B$2:$B$241,"&gt;="&amp;A13,Data!$B$2:$B$241,"&lt;="&amp;EOMONTH(A13,0))</f>
        <v>10</v>
      </c>
      <c r="D13" s="13" t="n">
        <f aca="false">IF(C13=0,0,B13/C13)</f>
        <v>738</v>
      </c>
    </row>
    <row r="14" customFormat="false" ht="15" hidden="false" customHeight="false" outlineLevel="0" collapsed="false">
      <c r="A14" s="12" t="n">
        <v>46023</v>
      </c>
      <c r="B14" s="7" t="n">
        <f aca="false">SUMIFS(Data!$E$2:$E$241,Data!$B$2:$B$241,"&gt;="&amp;A14,Data!$B$2:$B$241,"&lt;="&amp;EOMONTH(A14,0))</f>
        <v>16350</v>
      </c>
      <c r="C14" s="5" t="n">
        <f aca="false">COUNTIFS(Data!$B$2:$B$241,"&gt;="&amp;A14,Data!$B$2:$B$241,"&lt;="&amp;EOMONTH(A14,0))</f>
        <v>18</v>
      </c>
      <c r="D14" s="13" t="n">
        <f aca="false">IF(C14=0,0,B14/C14)</f>
        <v>908.333333333333</v>
      </c>
    </row>
    <row r="15" customFormat="false" ht="15" hidden="false" customHeight="false" outlineLevel="0" collapsed="false">
      <c r="A15" s="12" t="n">
        <v>46054</v>
      </c>
      <c r="B15" s="7" t="n">
        <f aca="false">SUMIFS(Data!$E$2:$E$241,Data!$B$2:$B$241,"&gt;="&amp;A15,Data!$B$2:$B$241,"&lt;="&amp;EOMONTH(A15,0))</f>
        <v>11180</v>
      </c>
      <c r="C15" s="5" t="n">
        <f aca="false">COUNTIFS(Data!$B$2:$B$241,"&gt;="&amp;A15,Data!$B$2:$B$241,"&lt;="&amp;EOMONTH(A15,0))</f>
        <v>13</v>
      </c>
      <c r="D15" s="13" t="n">
        <f aca="false">IF(C15=0,0,B15/C15)</f>
        <v>860</v>
      </c>
    </row>
    <row r="16" customFormat="false" ht="15" hidden="false" customHeight="false" outlineLevel="0" collapsed="false">
      <c r="A16" s="12" t="n">
        <v>46082</v>
      </c>
      <c r="B16" s="7" t="n">
        <f aca="false">SUMIFS(Data!$E$2:$E$241,Data!$B$2:$B$241,"&gt;="&amp;A16,Data!$B$2:$B$241,"&lt;="&amp;EOMONTH(A16,0))</f>
        <v>9270</v>
      </c>
      <c r="C16" s="5" t="n">
        <f aca="false">COUNTIFS(Data!$B$2:$B$241,"&gt;="&amp;A16,Data!$B$2:$B$241,"&lt;="&amp;EOMONTH(A16,0))</f>
        <v>13</v>
      </c>
      <c r="D16" s="13" t="n">
        <f aca="false">IF(C16=0,0,B16/C16)</f>
        <v>713.076923076923</v>
      </c>
    </row>
    <row r="17" customFormat="false" ht="15" hidden="false" customHeight="false" outlineLevel="0" collapsed="false">
      <c r="A17" s="12" t="n">
        <v>46113</v>
      </c>
      <c r="B17" s="7" t="n">
        <f aca="false">SUMIFS(Data!$E$2:$E$241,Data!$B$2:$B$241,"&gt;="&amp;A17,Data!$B$2:$B$241,"&lt;="&amp;EOMONTH(A17,0))</f>
        <v>7540</v>
      </c>
      <c r="C17" s="5" t="n">
        <f aca="false">COUNTIFS(Data!$B$2:$B$241,"&gt;="&amp;A17,Data!$B$2:$B$241,"&lt;="&amp;EOMONTH(A17,0))</f>
        <v>12</v>
      </c>
      <c r="D17" s="13" t="n">
        <f aca="false">IF(C17=0,0,B17/C17)</f>
        <v>628.333333333333</v>
      </c>
    </row>
    <row r="18" customFormat="false" ht="15" hidden="false" customHeight="false" outlineLevel="0" collapsed="false">
      <c r="A18" s="12" t="n">
        <v>46143</v>
      </c>
      <c r="B18" s="7" t="n">
        <f aca="false">SUMIFS(Data!$E$2:$E$241,Data!$B$2:$B$241,"&gt;="&amp;A18,Data!$B$2:$B$241,"&lt;="&amp;EOMONTH(A18,0))</f>
        <v>11460</v>
      </c>
      <c r="C18" s="5" t="n">
        <f aca="false">COUNTIFS(Data!$B$2:$B$241,"&gt;="&amp;A18,Data!$B$2:$B$241,"&lt;="&amp;EOMONTH(A18,0))</f>
        <v>14</v>
      </c>
      <c r="D18" s="13" t="n">
        <f aca="false">IF(C18=0,0,B18/C18)</f>
        <v>818.571428571429</v>
      </c>
    </row>
    <row r="19" customFormat="false" ht="15" hidden="false" customHeight="false" outlineLevel="0" collapsed="false">
      <c r="A19" s="12" t="n">
        <v>46174</v>
      </c>
      <c r="B19" s="7" t="n">
        <f aca="false">SUMIFS(Data!$E$2:$E$241,Data!$B$2:$B$241,"&gt;="&amp;A19,Data!$B$2:$B$241,"&lt;="&amp;EOMONTH(A19,0))</f>
        <v>10170</v>
      </c>
      <c r="C19" s="5" t="n">
        <f aca="false">COUNTIFS(Data!$B$2:$B$241,"&gt;="&amp;A19,Data!$B$2:$B$241,"&lt;="&amp;EOMONTH(A19,0))</f>
        <v>12</v>
      </c>
      <c r="D19" s="13" t="n">
        <f aca="false">IF(C19=0,0,B19/C19)</f>
        <v>847.5</v>
      </c>
    </row>
    <row r="20" customFormat="false" ht="15" hidden="false" customHeight="false" outlineLevel="0" collapsed="false">
      <c r="A20" s="12" t="n">
        <v>46204</v>
      </c>
      <c r="B20" s="7" t="n">
        <f aca="false">SUMIFS(Data!$E$2:$E$241,Data!$B$2:$B$241,"&gt;="&amp;A20,Data!$B$2:$B$241,"&lt;="&amp;EOMONTH(A20,0))</f>
        <v>13780</v>
      </c>
      <c r="C20" s="5" t="n">
        <f aca="false">COUNTIFS(Data!$B$2:$B$241,"&gt;="&amp;A20,Data!$B$2:$B$241,"&lt;="&amp;EOMONTH(A20,0))</f>
        <v>16</v>
      </c>
      <c r="D20" s="13" t="n">
        <f aca="false">IF(C20=0,0,B20/C20)</f>
        <v>861.25</v>
      </c>
    </row>
    <row r="21" customFormat="false" ht="15" hidden="false" customHeight="false" outlineLevel="0" collapsed="false">
      <c r="A21" s="12" t="n">
        <v>46235</v>
      </c>
      <c r="B21" s="7" t="n">
        <f aca="false">SUMIFS(Data!$E$2:$E$241,Data!$B$2:$B$241,"&gt;="&amp;A21,Data!$B$2:$B$241,"&lt;="&amp;EOMONTH(A21,0))</f>
        <v>4320</v>
      </c>
      <c r="C21" s="5" t="n">
        <f aca="false">COUNTIFS(Data!$B$2:$B$241,"&gt;="&amp;A21,Data!$B$2:$B$241,"&lt;="&amp;EOMONTH(A21,0))</f>
        <v>5</v>
      </c>
      <c r="D21" s="13" t="n">
        <f aca="false">IF(C21=0,0,B21/C21)</f>
        <v>864</v>
      </c>
    </row>
    <row r="22" customFormat="false" ht="15" hidden="false" customHeight="false" outlineLevel="0" collapsed="false">
      <c r="A22" s="12" t="n">
        <v>46266</v>
      </c>
      <c r="B22" s="7" t="n">
        <f aca="false">SUMIFS(Data!$E$2:$E$241,Data!$B$2:$B$241,"&gt;="&amp;A22,Data!$B$2:$B$241,"&lt;="&amp;EOMONTH(A22,0))</f>
        <v>9560</v>
      </c>
      <c r="C22" s="5" t="n">
        <f aca="false">COUNTIFS(Data!$B$2:$B$241,"&gt;="&amp;A22,Data!$B$2:$B$241,"&lt;="&amp;EOMONTH(A22,0))</f>
        <v>10</v>
      </c>
      <c r="D22" s="13" t="n">
        <f aca="false">IF(C22=0,0,B22/C22)</f>
        <v>956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4" min="3" style="0" width="17"/>
  </cols>
  <sheetData>
    <row r="1" customFormat="false" ht="15" hidden="false" customHeight="false" outlineLevel="0" collapsed="false">
      <c r="A1" s="9" t="s">
        <v>301</v>
      </c>
      <c r="B1" s="14" t="s">
        <v>302</v>
      </c>
      <c r="C1" s="11" t="s">
        <v>303</v>
      </c>
      <c r="D1" s="11" t="str">
        <f aca="false">IF(B1="All Cities","*",B1)</f>
        <v>*</v>
      </c>
    </row>
    <row r="2" customFormat="false" ht="15" hidden="false" customHeight="false" outlineLevel="0" collapsed="false">
      <c r="A2" s="9" t="s">
        <v>304</v>
      </c>
      <c r="B2" s="14" t="s">
        <v>305</v>
      </c>
      <c r="C2" s="11" t="s">
        <v>303</v>
      </c>
      <c r="D2" s="11" t="str">
        <f aca="false">IF(B2="All Restaurants","*",B2)</f>
        <v>*</v>
      </c>
    </row>
    <row r="4" customFormat="false" ht="15" hidden="false" customHeight="false" outlineLevel="0" collapsed="false">
      <c r="A4" s="3" t="s">
        <v>286</v>
      </c>
      <c r="B4" s="3" t="s">
        <v>287</v>
      </c>
      <c r="C4" s="3" t="s">
        <v>288</v>
      </c>
    </row>
    <row r="5" customFormat="false" ht="15" hidden="false" customHeight="false" outlineLevel="0" collapsed="false">
      <c r="A5" s="12" t="n">
        <v>45658</v>
      </c>
      <c r="B5" s="7" t="n">
        <f aca="false">SUMIFS(Data!$E$2:$E$241,Data!$B$2:$B$241,"&gt;="&amp;A5,Data!$B$2:$B$241,"&lt;="&amp;EOMONTH(A5,0),Data!$D$2:$D$241,$D$1,Data!$C$2:$C$241,$D$2)</f>
        <v>9490</v>
      </c>
      <c r="C5" s="5" t="n">
        <f aca="false">COUNTIFS(Data!$B$2:$B$241,"&gt;="&amp;A5,Data!$B$2:$B$241,"&lt;="&amp;EOMONTH(A5,0),Data!$D$2:$D$241,$D$1,Data!$C$2:$C$241,$D$2)</f>
        <v>10</v>
      </c>
    </row>
    <row r="6" customFormat="false" ht="15" hidden="false" customHeight="false" outlineLevel="0" collapsed="false">
      <c r="A6" s="12" t="n">
        <v>45689</v>
      </c>
      <c r="B6" s="7" t="n">
        <f aca="false">SUMIFS(Data!$E$2:$E$241,Data!$B$2:$B$241,"&gt;="&amp;A6,Data!$B$2:$B$241,"&lt;="&amp;EOMONTH(A6,0),Data!$D$2:$D$241,$D$1,Data!$C$2:$C$241,$D$2)</f>
        <v>9820</v>
      </c>
      <c r="C6" s="5" t="n">
        <f aca="false">COUNTIFS(Data!$B$2:$B$241,"&gt;="&amp;A6,Data!$B$2:$B$241,"&lt;="&amp;EOMONTH(A6,0),Data!$D$2:$D$241,$D$1,Data!$C$2:$C$241,$D$2)</f>
        <v>12</v>
      </c>
    </row>
    <row r="7" customFormat="false" ht="15" hidden="false" customHeight="false" outlineLevel="0" collapsed="false">
      <c r="A7" s="12" t="n">
        <v>45717</v>
      </c>
      <c r="B7" s="7" t="n">
        <f aca="false">SUMIFS(Data!$E$2:$E$241,Data!$B$2:$B$241,"&gt;="&amp;A7,Data!$B$2:$B$241,"&lt;="&amp;EOMONTH(A7,0),Data!$D$2:$D$241,$D$1,Data!$C$2:$C$241,$D$2)</f>
        <v>8960</v>
      </c>
      <c r="C7" s="5" t="n">
        <f aca="false">COUNTIFS(Data!$B$2:$B$241,"&gt;="&amp;A7,Data!$B$2:$B$241,"&lt;="&amp;EOMONTH(A7,0),Data!$D$2:$D$241,$D$1,Data!$C$2:$C$241,$D$2)</f>
        <v>13</v>
      </c>
    </row>
    <row r="8" customFormat="false" ht="15" hidden="false" customHeight="false" outlineLevel="0" collapsed="false">
      <c r="A8" s="12" t="n">
        <v>45748</v>
      </c>
      <c r="B8" s="7" t="n">
        <f aca="false">SUMIFS(Data!$E$2:$E$241,Data!$B$2:$B$241,"&gt;="&amp;A8,Data!$B$2:$B$241,"&lt;="&amp;EOMONTH(A8,0),Data!$D$2:$D$241,$D$1,Data!$C$2:$C$241,$D$2)</f>
        <v>5180</v>
      </c>
      <c r="C8" s="5" t="n">
        <f aca="false">COUNTIFS(Data!$B$2:$B$241,"&gt;="&amp;A8,Data!$B$2:$B$241,"&lt;="&amp;EOMONTH(A8,0),Data!$D$2:$D$241,$D$1,Data!$C$2:$C$241,$D$2)</f>
        <v>8</v>
      </c>
    </row>
    <row r="9" customFormat="false" ht="15" hidden="false" customHeight="false" outlineLevel="0" collapsed="false">
      <c r="A9" s="12" t="n">
        <v>45778</v>
      </c>
      <c r="B9" s="7" t="n">
        <f aca="false">SUMIFS(Data!$E$2:$E$241,Data!$B$2:$B$241,"&gt;="&amp;A9,Data!$B$2:$B$241,"&lt;="&amp;EOMONTH(A9,0),Data!$D$2:$D$241,$D$1,Data!$C$2:$C$241,$D$2)</f>
        <v>8500</v>
      </c>
      <c r="C9" s="5" t="n">
        <f aca="false">COUNTIFS(Data!$B$2:$B$241,"&gt;="&amp;A9,Data!$B$2:$B$241,"&lt;="&amp;EOMONTH(A9,0),Data!$D$2:$D$241,$D$1,Data!$C$2:$C$241,$D$2)</f>
        <v>10</v>
      </c>
    </row>
    <row r="10" customFormat="false" ht="15" hidden="false" customHeight="false" outlineLevel="0" collapsed="false">
      <c r="A10" s="12" t="n">
        <v>45809</v>
      </c>
      <c r="B10" s="7" t="n">
        <f aca="false">SUMIFS(Data!$E$2:$E$241,Data!$B$2:$B$241,"&gt;="&amp;A10,Data!$B$2:$B$241,"&lt;="&amp;EOMONTH(A10,0),Data!$D$2:$D$241,$D$1,Data!$C$2:$C$241,$D$2)</f>
        <v>5510</v>
      </c>
      <c r="C10" s="5" t="n">
        <f aca="false">COUNTIFS(Data!$B$2:$B$241,"&gt;="&amp;A10,Data!$B$2:$B$241,"&lt;="&amp;EOMONTH(A10,0),Data!$D$2:$D$241,$D$1,Data!$C$2:$C$241,$D$2)</f>
        <v>9</v>
      </c>
    </row>
    <row r="11" customFormat="false" ht="15" hidden="false" customHeight="false" outlineLevel="0" collapsed="false">
      <c r="A11" s="12" t="n">
        <v>45839</v>
      </c>
      <c r="B11" s="7" t="n">
        <f aca="false">SUMIFS(Data!$E$2:$E$241,Data!$B$2:$B$241,"&gt;="&amp;A11,Data!$B$2:$B$241,"&lt;="&amp;EOMONTH(A11,0),Data!$D$2:$D$241,$D$1,Data!$C$2:$C$241,$D$2)</f>
        <v>10320</v>
      </c>
      <c r="C11" s="5" t="n">
        <f aca="false">COUNTIFS(Data!$B$2:$B$241,"&gt;="&amp;A11,Data!$B$2:$B$241,"&lt;="&amp;EOMONTH(A11,0),Data!$D$2:$D$241,$D$1,Data!$C$2:$C$241,$D$2)</f>
        <v>15</v>
      </c>
    </row>
    <row r="12" customFormat="false" ht="15" hidden="false" customHeight="false" outlineLevel="0" collapsed="false">
      <c r="A12" s="12" t="n">
        <v>45870</v>
      </c>
      <c r="B12" s="7" t="n">
        <f aca="false">SUMIFS(Data!$E$2:$E$241,Data!$B$2:$B$241,"&gt;="&amp;A12,Data!$B$2:$B$241,"&lt;="&amp;EOMONTH(A12,0),Data!$D$2:$D$241,$D$1,Data!$C$2:$C$241,$D$2)</f>
        <v>6250</v>
      </c>
      <c r="C12" s="5" t="n">
        <f aca="false">COUNTIFS(Data!$B$2:$B$241,"&gt;="&amp;A12,Data!$B$2:$B$241,"&lt;="&amp;EOMONTH(A12,0),Data!$D$2:$D$241,$D$1,Data!$C$2:$C$241,$D$2)</f>
        <v>9</v>
      </c>
    </row>
    <row r="13" customFormat="false" ht="15" hidden="false" customHeight="false" outlineLevel="0" collapsed="false">
      <c r="A13" s="12" t="n">
        <v>45901</v>
      </c>
      <c r="B13" s="7" t="n">
        <f aca="false">SUMIFS(Data!$E$2:$E$241,Data!$B$2:$B$241,"&gt;="&amp;A13,Data!$B$2:$B$241,"&lt;="&amp;EOMONTH(A13,0),Data!$D$2:$D$241,$D$1,Data!$C$2:$C$241,$D$2)</f>
        <v>7150</v>
      </c>
      <c r="C13" s="5" t="n">
        <f aca="false">COUNTIFS(Data!$B$2:$B$241,"&gt;="&amp;A13,Data!$B$2:$B$241,"&lt;="&amp;EOMONTH(A13,0),Data!$D$2:$D$241,$D$1,Data!$C$2:$C$241,$D$2)</f>
        <v>9</v>
      </c>
    </row>
    <row r="14" customFormat="false" ht="15" hidden="false" customHeight="false" outlineLevel="0" collapsed="false">
      <c r="A14" s="12" t="n">
        <v>45931</v>
      </c>
      <c r="B14" s="7" t="n">
        <f aca="false">SUMIFS(Data!$E$2:$E$241,Data!$B$2:$B$241,"&gt;="&amp;A14,Data!$B$2:$B$241,"&lt;="&amp;EOMONTH(A14,0),Data!$D$2:$D$241,$D$1,Data!$C$2:$C$241,$D$2)</f>
        <v>9610</v>
      </c>
      <c r="C14" s="5" t="n">
        <f aca="false">COUNTIFS(Data!$B$2:$B$241,"&gt;="&amp;A14,Data!$B$2:$B$241,"&lt;="&amp;EOMONTH(A14,0),Data!$D$2:$D$241,$D$1,Data!$C$2:$C$241,$D$2)</f>
        <v>10</v>
      </c>
    </row>
    <row r="15" customFormat="false" ht="15" hidden="false" customHeight="false" outlineLevel="0" collapsed="false">
      <c r="A15" s="12" t="n">
        <v>45962</v>
      </c>
      <c r="B15" s="7" t="n">
        <f aca="false">SUMIFS(Data!$E$2:$E$241,Data!$B$2:$B$241,"&gt;="&amp;A15,Data!$B$2:$B$241,"&lt;="&amp;EOMONTH(A15,0),Data!$D$2:$D$241,$D$1,Data!$C$2:$C$241,$D$2)</f>
        <v>10320</v>
      </c>
      <c r="C15" s="5" t="n">
        <f aca="false">COUNTIFS(Data!$B$2:$B$241,"&gt;="&amp;A15,Data!$B$2:$B$241,"&lt;="&amp;EOMONTH(A15,0),Data!$D$2:$D$241,$D$1,Data!$C$2:$C$241,$D$2)</f>
        <v>12</v>
      </c>
    </row>
    <row r="16" customFormat="false" ht="15" hidden="false" customHeight="false" outlineLevel="0" collapsed="false">
      <c r="A16" s="12" t="n">
        <v>45992</v>
      </c>
      <c r="B16" s="7" t="n">
        <f aca="false">SUMIFS(Data!$E$2:$E$241,Data!$B$2:$B$241,"&gt;="&amp;A16,Data!$B$2:$B$241,"&lt;="&amp;EOMONTH(A16,0),Data!$D$2:$D$241,$D$1,Data!$C$2:$C$241,$D$2)</f>
        <v>7380</v>
      </c>
      <c r="C16" s="5" t="n">
        <f aca="false">COUNTIFS(Data!$B$2:$B$241,"&gt;="&amp;A16,Data!$B$2:$B$241,"&lt;="&amp;EOMONTH(A16,0),Data!$D$2:$D$241,$D$1,Data!$C$2:$C$241,$D$2)</f>
        <v>10</v>
      </c>
    </row>
    <row r="17" customFormat="false" ht="15" hidden="false" customHeight="false" outlineLevel="0" collapsed="false">
      <c r="A17" s="12" t="n">
        <v>46023</v>
      </c>
      <c r="B17" s="7" t="n">
        <f aca="false">SUMIFS(Data!$E$2:$E$241,Data!$B$2:$B$241,"&gt;="&amp;A17,Data!$B$2:$B$241,"&lt;="&amp;EOMONTH(A17,0),Data!$D$2:$D$241,$D$1,Data!$C$2:$C$241,$D$2)</f>
        <v>16350</v>
      </c>
      <c r="C17" s="5" t="n">
        <f aca="false">COUNTIFS(Data!$B$2:$B$241,"&gt;="&amp;A17,Data!$B$2:$B$241,"&lt;="&amp;EOMONTH(A17,0),Data!$D$2:$D$241,$D$1,Data!$C$2:$C$241,$D$2)</f>
        <v>18</v>
      </c>
    </row>
    <row r="18" customFormat="false" ht="15" hidden="false" customHeight="false" outlineLevel="0" collapsed="false">
      <c r="A18" s="12" t="n">
        <v>46054</v>
      </c>
      <c r="B18" s="7" t="n">
        <f aca="false">SUMIFS(Data!$E$2:$E$241,Data!$B$2:$B$241,"&gt;="&amp;A18,Data!$B$2:$B$241,"&lt;="&amp;EOMONTH(A18,0),Data!$D$2:$D$241,$D$1,Data!$C$2:$C$241,$D$2)</f>
        <v>11180</v>
      </c>
      <c r="C18" s="5" t="n">
        <f aca="false">COUNTIFS(Data!$B$2:$B$241,"&gt;="&amp;A18,Data!$B$2:$B$241,"&lt;="&amp;EOMONTH(A18,0),Data!$D$2:$D$241,$D$1,Data!$C$2:$C$241,$D$2)</f>
        <v>13</v>
      </c>
    </row>
    <row r="19" customFormat="false" ht="15" hidden="false" customHeight="false" outlineLevel="0" collapsed="false">
      <c r="A19" s="12" t="n">
        <v>46082</v>
      </c>
      <c r="B19" s="7" t="n">
        <f aca="false">SUMIFS(Data!$E$2:$E$241,Data!$B$2:$B$241,"&gt;="&amp;A19,Data!$B$2:$B$241,"&lt;="&amp;EOMONTH(A19,0),Data!$D$2:$D$241,$D$1,Data!$C$2:$C$241,$D$2)</f>
        <v>9270</v>
      </c>
      <c r="C19" s="5" t="n">
        <f aca="false">COUNTIFS(Data!$B$2:$B$241,"&gt;="&amp;A19,Data!$B$2:$B$241,"&lt;="&amp;EOMONTH(A19,0),Data!$D$2:$D$241,$D$1,Data!$C$2:$C$241,$D$2)</f>
        <v>13</v>
      </c>
    </row>
    <row r="20" customFormat="false" ht="15" hidden="false" customHeight="false" outlineLevel="0" collapsed="false">
      <c r="A20" s="12" t="n">
        <v>46113</v>
      </c>
      <c r="B20" s="7" t="n">
        <f aca="false">SUMIFS(Data!$E$2:$E$241,Data!$B$2:$B$241,"&gt;="&amp;A20,Data!$B$2:$B$241,"&lt;="&amp;EOMONTH(A20,0),Data!$D$2:$D$241,$D$1,Data!$C$2:$C$241,$D$2)</f>
        <v>7540</v>
      </c>
      <c r="C20" s="5" t="n">
        <f aca="false">COUNTIFS(Data!$B$2:$B$241,"&gt;="&amp;A20,Data!$B$2:$B$241,"&lt;="&amp;EOMONTH(A20,0),Data!$D$2:$D$241,$D$1,Data!$C$2:$C$241,$D$2)</f>
        <v>12</v>
      </c>
    </row>
    <row r="21" customFormat="false" ht="15" hidden="false" customHeight="false" outlineLevel="0" collapsed="false">
      <c r="A21" s="12" t="n">
        <v>46143</v>
      </c>
      <c r="B21" s="7" t="n">
        <f aca="false">SUMIFS(Data!$E$2:$E$241,Data!$B$2:$B$241,"&gt;="&amp;A21,Data!$B$2:$B$241,"&lt;="&amp;EOMONTH(A21,0),Data!$D$2:$D$241,$D$1,Data!$C$2:$C$241,$D$2)</f>
        <v>11460</v>
      </c>
      <c r="C21" s="5" t="n">
        <f aca="false">COUNTIFS(Data!$B$2:$B$241,"&gt;="&amp;A21,Data!$B$2:$B$241,"&lt;="&amp;EOMONTH(A21,0),Data!$D$2:$D$241,$D$1,Data!$C$2:$C$241,$D$2)</f>
        <v>14</v>
      </c>
    </row>
    <row r="22" customFormat="false" ht="15" hidden="false" customHeight="false" outlineLevel="0" collapsed="false">
      <c r="A22" s="12" t="n">
        <v>46174</v>
      </c>
      <c r="B22" s="7" t="n">
        <f aca="false">SUMIFS(Data!$E$2:$E$241,Data!$B$2:$B$241,"&gt;="&amp;A22,Data!$B$2:$B$241,"&lt;="&amp;EOMONTH(A22,0),Data!$D$2:$D$241,$D$1,Data!$C$2:$C$241,$D$2)</f>
        <v>10170</v>
      </c>
      <c r="C22" s="5" t="n">
        <f aca="false">COUNTIFS(Data!$B$2:$B$241,"&gt;="&amp;A22,Data!$B$2:$B$241,"&lt;="&amp;EOMONTH(A22,0),Data!$D$2:$D$241,$D$1,Data!$C$2:$C$241,$D$2)</f>
        <v>12</v>
      </c>
    </row>
    <row r="23" customFormat="false" ht="15" hidden="false" customHeight="false" outlineLevel="0" collapsed="false">
      <c r="A23" s="12" t="n">
        <v>46204</v>
      </c>
      <c r="B23" s="7" t="n">
        <f aca="false">SUMIFS(Data!$E$2:$E$241,Data!$B$2:$B$241,"&gt;="&amp;A23,Data!$B$2:$B$241,"&lt;="&amp;EOMONTH(A23,0),Data!$D$2:$D$241,$D$1,Data!$C$2:$C$241,$D$2)</f>
        <v>13780</v>
      </c>
      <c r="C23" s="5" t="n">
        <f aca="false">COUNTIFS(Data!$B$2:$B$241,"&gt;="&amp;A23,Data!$B$2:$B$241,"&lt;="&amp;EOMONTH(A23,0),Data!$D$2:$D$241,$D$1,Data!$C$2:$C$241,$D$2)</f>
        <v>16</v>
      </c>
    </row>
    <row r="24" customFormat="false" ht="15" hidden="false" customHeight="false" outlineLevel="0" collapsed="false">
      <c r="A24" s="12" t="n">
        <v>46235</v>
      </c>
      <c r="B24" s="7" t="n">
        <f aca="false">SUMIFS(Data!$E$2:$E$241,Data!$B$2:$B$241,"&gt;="&amp;A24,Data!$B$2:$B$241,"&lt;="&amp;EOMONTH(A24,0),Data!$D$2:$D$241,$D$1,Data!$C$2:$C$241,$D$2)</f>
        <v>4320</v>
      </c>
      <c r="C24" s="5" t="n">
        <f aca="false">COUNTIFS(Data!$B$2:$B$241,"&gt;="&amp;A24,Data!$B$2:$B$241,"&lt;="&amp;EOMONTH(A24,0),Data!$D$2:$D$241,$D$1,Data!$C$2:$C$241,$D$2)</f>
        <v>5</v>
      </c>
    </row>
    <row r="25" customFormat="false" ht="15" hidden="false" customHeight="false" outlineLevel="0" collapsed="false">
      <c r="A25" s="12" t="n">
        <v>46266</v>
      </c>
      <c r="B25" s="7" t="n">
        <f aca="false">SUMIFS(Data!$E$2:$E$241,Data!$B$2:$B$241,"&gt;="&amp;A25,Data!$B$2:$B$241,"&lt;="&amp;EOMONTH(A25,0),Data!$D$2:$D$241,$D$1,Data!$C$2:$C$241,$D$2)</f>
        <v>9560</v>
      </c>
      <c r="C25" s="5" t="n">
        <f aca="false">COUNTIFS(Data!$B$2:$B$241,"&gt;="&amp;A25,Data!$B$2:$B$241,"&lt;="&amp;EOMONTH(A25,0),Data!$D$2:$D$241,$D$1,Data!$C$2:$C$241,$D$2)</f>
        <v>10</v>
      </c>
    </row>
  </sheetData>
  <dataValidations count="2">
    <dataValidation allowBlank="false" errorStyle="stop" operator="between" showDropDown="false" showErrorMessage="false" showInputMessage="false" sqref="B1" type="list">
      <formula1>"All Cities,Ahmedabad,Surat,Vadodara,Rajkot,Pune,Mumbai"</formula1>
      <formula2>0</formula2>
    </dataValidation>
    <dataValidation allowBlank="false" errorStyle="stop" operator="between" showDropDown="false" showErrorMessage="false" showInputMessage="false" sqref="B2" type="list">
      <formula1>"All Restaurants,Burger King,Domino's,Pizza Hut,Biryani Blues,Honest Restaurant,Gwalia Sweets,Wok Express,KFC"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38"/>
    <col collapsed="false" customWidth="true" hidden="false" outlineLevel="0" max="5" min="5" style="0" width="17"/>
  </cols>
  <sheetData>
    <row r="1" customFormat="false" ht="15" hidden="false" customHeight="false" outlineLevel="0" collapsed="false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</row>
    <row r="2" customFormat="false" ht="15" hidden="false" customHeight="false" outlineLevel="0" collapsed="false">
      <c r="A2" s="5" t="s">
        <v>218</v>
      </c>
      <c r="B2" s="6" t="n">
        <v>46114</v>
      </c>
      <c r="C2" s="5" t="s">
        <v>54</v>
      </c>
      <c r="D2" s="5" t="s">
        <v>44</v>
      </c>
      <c r="E2" s="7" t="n">
        <v>940</v>
      </c>
    </row>
    <row r="3" customFormat="false" ht="15" hidden="false" customHeight="false" outlineLevel="0" collapsed="false">
      <c r="A3" s="5" t="s">
        <v>242</v>
      </c>
      <c r="B3" s="6" t="n">
        <v>46114</v>
      </c>
      <c r="C3" s="5" t="s">
        <v>39</v>
      </c>
      <c r="D3" s="5" t="s">
        <v>48</v>
      </c>
      <c r="E3" s="7" t="n">
        <v>350</v>
      </c>
    </row>
    <row r="4" customFormat="false" ht="15" hidden="false" customHeight="false" outlineLevel="0" collapsed="false">
      <c r="A4" s="5" t="s">
        <v>181</v>
      </c>
      <c r="B4" s="6" t="n">
        <v>46117</v>
      </c>
      <c r="C4" s="5" t="s">
        <v>32</v>
      </c>
      <c r="D4" s="5" t="s">
        <v>40</v>
      </c>
      <c r="E4" s="7" t="n">
        <v>1100</v>
      </c>
    </row>
    <row r="5" customFormat="false" ht="15" hidden="false" customHeight="false" outlineLevel="0" collapsed="false">
      <c r="A5" s="5" t="s">
        <v>168</v>
      </c>
      <c r="B5" s="6" t="n">
        <v>46119</v>
      </c>
      <c r="C5" s="5" t="s">
        <v>35</v>
      </c>
      <c r="D5" s="5" t="s">
        <v>66</v>
      </c>
      <c r="E5" s="7" t="n">
        <v>200</v>
      </c>
    </row>
    <row r="6" customFormat="false" ht="15" hidden="false" customHeight="false" outlineLevel="0" collapsed="false">
      <c r="A6" s="5" t="s">
        <v>272</v>
      </c>
      <c r="B6" s="6" t="n">
        <v>46120</v>
      </c>
      <c r="C6" s="5" t="s">
        <v>57</v>
      </c>
      <c r="D6" s="5" t="s">
        <v>40</v>
      </c>
      <c r="E6" s="7" t="n">
        <v>350</v>
      </c>
    </row>
    <row r="7" customFormat="false" ht="15" hidden="false" customHeight="false" outlineLevel="0" collapsed="false">
      <c r="A7" s="5" t="s">
        <v>276</v>
      </c>
      <c r="B7" s="6" t="n">
        <v>46122</v>
      </c>
      <c r="C7" s="5" t="s">
        <v>32</v>
      </c>
      <c r="D7" s="5" t="s">
        <v>40</v>
      </c>
      <c r="E7" s="7" t="n">
        <v>480</v>
      </c>
    </row>
    <row r="8" customFormat="false" ht="15" hidden="false" customHeight="false" outlineLevel="0" collapsed="false">
      <c r="A8" s="5" t="s">
        <v>253</v>
      </c>
      <c r="B8" s="6" t="n">
        <v>46125</v>
      </c>
      <c r="C8" s="5" t="s">
        <v>35</v>
      </c>
      <c r="D8" s="5" t="s">
        <v>33</v>
      </c>
      <c r="E8" s="7" t="n">
        <v>680</v>
      </c>
    </row>
    <row r="9" customFormat="false" ht="15" hidden="false" customHeight="false" outlineLevel="0" collapsed="false">
      <c r="A9" s="5" t="s">
        <v>145</v>
      </c>
      <c r="B9" s="6" t="n">
        <v>46127</v>
      </c>
      <c r="C9" s="5" t="s">
        <v>35</v>
      </c>
      <c r="D9" s="5" t="s">
        <v>37</v>
      </c>
      <c r="E9" s="7" t="n">
        <v>510</v>
      </c>
    </row>
    <row r="10" customFormat="false" ht="15" hidden="false" customHeight="false" outlineLevel="0" collapsed="false">
      <c r="A10" s="5" t="s">
        <v>228</v>
      </c>
      <c r="B10" s="6" t="n">
        <v>46128</v>
      </c>
      <c r="C10" s="5" t="s">
        <v>43</v>
      </c>
      <c r="D10" s="5" t="s">
        <v>33</v>
      </c>
      <c r="E10" s="7" t="n">
        <v>520</v>
      </c>
    </row>
    <row r="11" customFormat="false" ht="15" hidden="false" customHeight="false" outlineLevel="0" collapsed="false">
      <c r="A11" s="5" t="s">
        <v>34</v>
      </c>
      <c r="B11" s="6" t="n">
        <v>46129</v>
      </c>
      <c r="C11" s="5" t="s">
        <v>35</v>
      </c>
      <c r="D11" s="5" t="s">
        <v>33</v>
      </c>
      <c r="E11" s="7" t="n">
        <v>500</v>
      </c>
    </row>
    <row r="12" customFormat="false" ht="15" hidden="false" customHeight="false" outlineLevel="0" collapsed="false">
      <c r="A12" s="5" t="s">
        <v>198</v>
      </c>
      <c r="B12" s="6" t="n">
        <v>46134</v>
      </c>
      <c r="C12" s="5" t="s">
        <v>43</v>
      </c>
      <c r="D12" s="5" t="s">
        <v>48</v>
      </c>
      <c r="E12" s="7" t="n">
        <v>1350</v>
      </c>
    </row>
    <row r="13" customFormat="false" ht="15" hidden="false" customHeight="false" outlineLevel="0" collapsed="false">
      <c r="A13" s="5" t="s">
        <v>159</v>
      </c>
      <c r="B13" s="6" t="n">
        <v>46138</v>
      </c>
      <c r="C13" s="5" t="s">
        <v>71</v>
      </c>
      <c r="D13" s="5" t="s">
        <v>48</v>
      </c>
      <c r="E13" s="7" t="n">
        <v>560</v>
      </c>
    </row>
    <row r="14" customFormat="false" ht="15" hidden="false" customHeight="false" outlineLevel="0" collapsed="false">
      <c r="A14" s="5" t="s">
        <v>106</v>
      </c>
      <c r="B14" s="6" t="n">
        <v>46144</v>
      </c>
      <c r="C14" s="5" t="s">
        <v>35</v>
      </c>
      <c r="D14" s="5" t="s">
        <v>48</v>
      </c>
      <c r="E14" s="7" t="n">
        <v>900</v>
      </c>
    </row>
    <row r="15" customFormat="false" ht="15" hidden="false" customHeight="false" outlineLevel="0" collapsed="false">
      <c r="A15" s="5" t="s">
        <v>197</v>
      </c>
      <c r="B15" s="6" t="n">
        <v>46145</v>
      </c>
      <c r="C15" s="5" t="s">
        <v>46</v>
      </c>
      <c r="D15" s="5" t="s">
        <v>48</v>
      </c>
      <c r="E15" s="7" t="n">
        <v>850</v>
      </c>
    </row>
    <row r="16" customFormat="false" ht="15" hidden="false" customHeight="false" outlineLevel="0" collapsed="false">
      <c r="A16" s="5" t="s">
        <v>49</v>
      </c>
      <c r="B16" s="6" t="n">
        <v>46146</v>
      </c>
      <c r="C16" s="5" t="s">
        <v>46</v>
      </c>
      <c r="D16" s="5" t="s">
        <v>37</v>
      </c>
      <c r="E16" s="7" t="n">
        <v>750</v>
      </c>
    </row>
    <row r="17" customFormat="false" ht="15" hidden="false" customHeight="false" outlineLevel="0" collapsed="false">
      <c r="A17" s="5" t="s">
        <v>190</v>
      </c>
      <c r="B17" s="6" t="n">
        <v>46147</v>
      </c>
      <c r="C17" s="5" t="s">
        <v>57</v>
      </c>
      <c r="D17" s="5" t="s">
        <v>48</v>
      </c>
      <c r="E17" s="7" t="n">
        <v>1220</v>
      </c>
    </row>
    <row r="18" customFormat="false" ht="15" hidden="false" customHeight="false" outlineLevel="0" collapsed="false">
      <c r="A18" s="5" t="s">
        <v>281</v>
      </c>
      <c r="B18" s="6" t="n">
        <v>46147</v>
      </c>
      <c r="C18" s="5" t="s">
        <v>57</v>
      </c>
      <c r="D18" s="5" t="s">
        <v>40</v>
      </c>
      <c r="E18" s="7" t="n">
        <v>800</v>
      </c>
    </row>
    <row r="19" customFormat="false" ht="15" hidden="false" customHeight="false" outlineLevel="0" collapsed="false">
      <c r="A19" s="5" t="s">
        <v>154</v>
      </c>
      <c r="B19" s="6" t="n">
        <v>46149</v>
      </c>
      <c r="C19" s="5" t="s">
        <v>35</v>
      </c>
      <c r="D19" s="5" t="s">
        <v>37</v>
      </c>
      <c r="E19" s="7" t="n">
        <v>990</v>
      </c>
    </row>
    <row r="20" customFormat="false" ht="15" hidden="false" customHeight="false" outlineLevel="0" collapsed="false">
      <c r="A20" s="5" t="s">
        <v>124</v>
      </c>
      <c r="B20" s="6" t="n">
        <v>46153</v>
      </c>
      <c r="C20" s="5" t="s">
        <v>71</v>
      </c>
      <c r="D20" s="5" t="s">
        <v>66</v>
      </c>
      <c r="E20" s="7" t="n">
        <v>1340</v>
      </c>
    </row>
    <row r="21" customFormat="false" ht="15" hidden="false" customHeight="false" outlineLevel="0" collapsed="false">
      <c r="A21" s="5" t="s">
        <v>111</v>
      </c>
      <c r="B21" s="6" t="n">
        <v>46154</v>
      </c>
      <c r="C21" s="5" t="s">
        <v>39</v>
      </c>
      <c r="D21" s="5" t="s">
        <v>33</v>
      </c>
      <c r="E21" s="7" t="n">
        <v>630</v>
      </c>
    </row>
    <row r="22" customFormat="false" ht="15" hidden="false" customHeight="false" outlineLevel="0" collapsed="false">
      <c r="A22" s="5" t="s">
        <v>163</v>
      </c>
      <c r="B22" s="6" t="n">
        <v>46154</v>
      </c>
      <c r="C22" s="5" t="s">
        <v>43</v>
      </c>
      <c r="D22" s="5" t="s">
        <v>66</v>
      </c>
      <c r="E22" s="7" t="n">
        <v>1240</v>
      </c>
    </row>
    <row r="23" customFormat="false" ht="15" hidden="false" customHeight="false" outlineLevel="0" collapsed="false">
      <c r="A23" s="5" t="s">
        <v>211</v>
      </c>
      <c r="B23" s="6" t="n">
        <v>46158</v>
      </c>
      <c r="C23" s="5" t="s">
        <v>43</v>
      </c>
      <c r="D23" s="5" t="s">
        <v>44</v>
      </c>
      <c r="E23" s="7" t="n">
        <v>410</v>
      </c>
    </row>
    <row r="24" customFormat="false" ht="15" hidden="false" customHeight="false" outlineLevel="0" collapsed="false">
      <c r="A24" s="5" t="s">
        <v>220</v>
      </c>
      <c r="B24" s="6" t="n">
        <v>46159</v>
      </c>
      <c r="C24" s="5" t="s">
        <v>32</v>
      </c>
      <c r="D24" s="5" t="s">
        <v>40</v>
      </c>
      <c r="E24" s="7" t="n">
        <v>1190</v>
      </c>
    </row>
    <row r="25" customFormat="false" ht="15" hidden="false" customHeight="false" outlineLevel="0" collapsed="false">
      <c r="A25" s="5" t="s">
        <v>136</v>
      </c>
      <c r="B25" s="6" t="n">
        <v>46163</v>
      </c>
      <c r="C25" s="5" t="s">
        <v>35</v>
      </c>
      <c r="D25" s="5" t="s">
        <v>66</v>
      </c>
      <c r="E25" s="7" t="n">
        <v>170</v>
      </c>
    </row>
    <row r="26" customFormat="false" ht="15" hidden="false" customHeight="false" outlineLevel="0" collapsed="false">
      <c r="A26" s="5" t="s">
        <v>155</v>
      </c>
      <c r="B26" s="6" t="n">
        <v>46163</v>
      </c>
      <c r="C26" s="5" t="s">
        <v>57</v>
      </c>
      <c r="D26" s="5" t="s">
        <v>44</v>
      </c>
      <c r="E26" s="7" t="n">
        <v>760</v>
      </c>
    </row>
    <row r="27" customFormat="false" ht="15" hidden="false" customHeight="false" outlineLevel="0" collapsed="false">
      <c r="A27" s="5" t="s">
        <v>264</v>
      </c>
      <c r="B27" s="6" t="n">
        <v>46168</v>
      </c>
      <c r="C27" s="5" t="s">
        <v>54</v>
      </c>
      <c r="D27" s="5" t="s">
        <v>33</v>
      </c>
      <c r="E27" s="7" t="n">
        <v>210</v>
      </c>
    </row>
    <row r="28" customFormat="false" ht="15" hidden="false" customHeight="false" outlineLevel="0" collapsed="false">
      <c r="A28" s="5" t="s">
        <v>138</v>
      </c>
      <c r="B28" s="6" t="n">
        <v>46174</v>
      </c>
      <c r="C28" s="5" t="s">
        <v>46</v>
      </c>
      <c r="D28" s="5" t="s">
        <v>48</v>
      </c>
      <c r="E28" s="7" t="n">
        <v>1230</v>
      </c>
    </row>
    <row r="29" customFormat="false" ht="15" hidden="false" customHeight="false" outlineLevel="0" collapsed="false">
      <c r="A29" s="5" t="s">
        <v>52</v>
      </c>
      <c r="B29" s="6" t="n">
        <v>46181</v>
      </c>
      <c r="C29" s="5" t="s">
        <v>43</v>
      </c>
      <c r="D29" s="5" t="s">
        <v>33</v>
      </c>
      <c r="E29" s="7" t="n">
        <v>620</v>
      </c>
    </row>
    <row r="30" customFormat="false" ht="15" hidden="false" customHeight="false" outlineLevel="0" collapsed="false">
      <c r="A30" s="5" t="s">
        <v>131</v>
      </c>
      <c r="B30" s="6" t="n">
        <v>46182</v>
      </c>
      <c r="C30" s="5" t="s">
        <v>43</v>
      </c>
      <c r="D30" s="5" t="s">
        <v>44</v>
      </c>
      <c r="E30" s="7" t="n">
        <v>630</v>
      </c>
    </row>
    <row r="31" customFormat="false" ht="15" hidden="false" customHeight="false" outlineLevel="0" collapsed="false">
      <c r="A31" s="5" t="s">
        <v>243</v>
      </c>
      <c r="B31" s="6" t="n">
        <v>46182</v>
      </c>
      <c r="C31" s="5" t="s">
        <v>32</v>
      </c>
      <c r="D31" s="5" t="s">
        <v>48</v>
      </c>
      <c r="E31" s="7" t="n">
        <v>1280</v>
      </c>
    </row>
    <row r="32" customFormat="false" ht="15" hidden="false" customHeight="false" outlineLevel="0" collapsed="false">
      <c r="A32" s="5" t="s">
        <v>248</v>
      </c>
      <c r="B32" s="6" t="n">
        <v>46185</v>
      </c>
      <c r="C32" s="5" t="s">
        <v>35</v>
      </c>
      <c r="D32" s="5" t="s">
        <v>33</v>
      </c>
      <c r="E32" s="7" t="n">
        <v>360</v>
      </c>
    </row>
    <row r="33" customFormat="false" ht="15" hidden="false" customHeight="false" outlineLevel="0" collapsed="false">
      <c r="A33" s="5" t="s">
        <v>128</v>
      </c>
      <c r="B33" s="6" t="n">
        <v>46190</v>
      </c>
      <c r="C33" s="5" t="s">
        <v>71</v>
      </c>
      <c r="D33" s="5" t="s">
        <v>66</v>
      </c>
      <c r="E33" s="7" t="n">
        <v>1030</v>
      </c>
    </row>
    <row r="34" customFormat="false" ht="15" hidden="false" customHeight="false" outlineLevel="0" collapsed="false">
      <c r="A34" s="5" t="s">
        <v>137</v>
      </c>
      <c r="B34" s="6" t="n">
        <v>46192</v>
      </c>
      <c r="C34" s="5" t="s">
        <v>46</v>
      </c>
      <c r="D34" s="5" t="s">
        <v>44</v>
      </c>
      <c r="E34" s="7" t="n">
        <v>840</v>
      </c>
    </row>
    <row r="35" customFormat="false" ht="15" hidden="false" customHeight="false" outlineLevel="0" collapsed="false">
      <c r="A35" s="5" t="s">
        <v>229</v>
      </c>
      <c r="B35" s="6" t="n">
        <v>46197</v>
      </c>
      <c r="C35" s="5" t="s">
        <v>54</v>
      </c>
      <c r="D35" s="5" t="s">
        <v>33</v>
      </c>
      <c r="E35" s="7" t="n">
        <v>1260</v>
      </c>
    </row>
    <row r="36" customFormat="false" ht="15" hidden="false" customHeight="false" outlineLevel="0" collapsed="false">
      <c r="A36" s="5" t="s">
        <v>262</v>
      </c>
      <c r="B36" s="6" t="n">
        <v>46198</v>
      </c>
      <c r="C36" s="5" t="s">
        <v>43</v>
      </c>
      <c r="D36" s="5" t="s">
        <v>33</v>
      </c>
      <c r="E36" s="7" t="n">
        <v>910</v>
      </c>
    </row>
    <row r="37" customFormat="false" ht="15" hidden="false" customHeight="false" outlineLevel="0" collapsed="false">
      <c r="A37" s="5" t="s">
        <v>280</v>
      </c>
      <c r="B37" s="6" t="n">
        <v>46198</v>
      </c>
      <c r="C37" s="5" t="s">
        <v>43</v>
      </c>
      <c r="D37" s="5" t="s">
        <v>33</v>
      </c>
      <c r="E37" s="7" t="n">
        <v>680</v>
      </c>
    </row>
    <row r="38" customFormat="false" ht="15" hidden="false" customHeight="false" outlineLevel="0" collapsed="false">
      <c r="A38" s="5" t="s">
        <v>196</v>
      </c>
      <c r="B38" s="6" t="n">
        <v>46199</v>
      </c>
      <c r="C38" s="5" t="s">
        <v>46</v>
      </c>
      <c r="D38" s="5" t="s">
        <v>48</v>
      </c>
      <c r="E38" s="7" t="n">
        <v>970</v>
      </c>
    </row>
    <row r="39" customFormat="false" ht="15" hidden="false" customHeight="false" outlineLevel="0" collapsed="false">
      <c r="A39" s="5" t="s">
        <v>157</v>
      </c>
      <c r="B39" s="6" t="n">
        <v>46200</v>
      </c>
      <c r="C39" s="5" t="s">
        <v>54</v>
      </c>
      <c r="D39" s="5" t="s">
        <v>48</v>
      </c>
      <c r="E39" s="7" t="n">
        <v>360</v>
      </c>
    </row>
    <row r="41" customFormat="false" ht="15" hidden="false" customHeight="false" outlineLevel="0" collapsed="false">
      <c r="D41" s="9" t="s">
        <v>306</v>
      </c>
      <c r="E41" s="10" t="n">
        <f aca="false">SUM(E2:E39)</f>
        <v>29170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2026-10-02T08:50:23Z</dcterms:created>
  <dc:creator>openpyxl</dc:creator>
  <dc:description/>
  <dc:language>en-US</dc:language>
  <cp:lastModifiedBy/>
  <dcterms:modified xsi:type="dcterms:W3CDTF">2026-10-02T08:50:25Z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