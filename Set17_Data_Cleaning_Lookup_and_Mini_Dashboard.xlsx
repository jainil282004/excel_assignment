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sk Notes" sheetId="1" state="visible" r:id="rId3"/>
    <sheet name="T1_Raw_Data" sheetId="2" state="visible" r:id="rId4"/>
    <sheet name="Orders_Clean" sheetId="3" state="visible" r:id="rId5"/>
    <sheet name="Restaurant_Details" sheetId="4" state="visible" r:id="rId6"/>
    <sheet name="T1_Cleaning_Steps" sheetId="5" state="visible" r:id="rId7"/>
    <sheet name="T4_City_Summary" sheetId="6" state="visible" r:id="rId8"/>
    <sheet name="T5_Dashboard" sheetId="7" state="visible" r:id="rId9"/>
    <sheet name="T4_Pivot" sheetId="8" state="visible" r:id="rId10"/>
  </sheet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<sst xmlns="http://schemas.openxmlformats.org/spreadsheetml/2006/main" count="884" uniqueCount="271">
  <si>
    <t xml:space="preserve">Set 17 - Clean a food-delivery dataset, look up, pivot-style summary and mini dashboard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</si>
  <si>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</si>
  <si>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</si>
  <si>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</si>
  <si>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</si>
  <si>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</si>
  <si>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</si>
  <si>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Clean dataset: remove duplicates, fix date formats, fill missing Delivery Partner.</t>
  </si>
  <si>
    <t xml:space="preserve">T1_Raw_Data / Orders_Clean / T1_Cleaning_Steps</t>
  </si>
  <si>
    <t xml:space="preserve">Raw export (80 rows) has 8 duplicate rows, three mixed text date formats and 20 blank delivery partners. Orders_Clean holds the 72-row cleaned result; the steps and Excel features used are in T1_Cleaning_Steps.</t>
  </si>
  <si>
    <t xml:space="preserve">2</t>
  </si>
  <si>
    <t xml:space="preserve">Match Restaurant ID with a Restaurant Details table and add the name.</t>
  </si>
  <si>
    <t xml:space="preserve">Orders_Clean (col J) / Restaurant_Details</t>
  </si>
  <si>
    <t xml:space="preserve">Restaurant_Details is on its own sheet. Column J: =INDEX(Restaurant_Details!$B$2:$B$9,MATCH(B2,Restaurant_Details!$A$2:$A$9,0)) (INDEX/MATCH used instead of XLOOKUP so it works in every Excel version).</t>
  </si>
  <si>
    <t xml:space="preserve">3</t>
  </si>
  <si>
    <t xml:space="preserve">Add day of week from Delivery Date.</t>
  </si>
  <si>
    <t xml:space="preserve">Orders_Clean (cols K, L)</t>
  </si>
  <si>
    <t xml:space="preserve">Formula: =TEXT(F2,"dddd") gives the day name (Monday ...); =WEEKDAY(F2,2) gives 1-7 with Monday = 1.</t>
  </si>
  <si>
    <t xml:space="preserve">4</t>
  </si>
  <si>
    <t xml:space="preserve">Summary of total orders and delivery charges per city + chart.</t>
  </si>
  <si>
    <t xml:space="preserve">T4_City_Summary / T4_Pivot</t>
  </si>
  <si>
    <t xml:space="preserve">Real PivotTable on T4_Pivot (City in Rows; Count of Order ID and Sum of Delivery Charge in Values); T4_City_Summary reproduces it with COUNTIFS/SUMIFS and feeds two column charts.</t>
  </si>
  <si>
    <t xml:space="preserve">5</t>
  </si>
  <si>
    <t xml:space="preserve">Mini dashboard: total orders, avg delivery time, top 3 restaurants, city filter.</t>
  </si>
  <si>
    <t xml:space="preserve">T5_Dashboard</t>
  </si>
  <si>
    <t xml:space="preserve">KPI cards, Top 3 restaurants (LARGE + INDEX/MATCH with a tie-breaker) and a bar chart, all driven by the City drop-down (C3). Excel Slicers cannot be generated outside Excel; to add one: click a PivotTable &gt; Insert Slicer &gt; City. Snapshot: Set17_Dashboard.jpg.</t>
  </si>
  <si>
    <t xml:space="preserve">Order ID</t>
  </si>
  <si>
    <t xml:space="preserve">Restaurant ID</t>
  </si>
  <si>
    <t xml:space="preserve">City</t>
  </si>
  <si>
    <t xml:space="preserve">Delivery Partner</t>
  </si>
  <si>
    <t xml:space="preserve">Order Date</t>
  </si>
  <si>
    <t xml:space="preserve">Delivery Date</t>
  </si>
  <si>
    <t xml:space="preserve">Delivery Time (min)</t>
  </si>
  <si>
    <t xml:space="preserve">Delivery Charge</t>
  </si>
  <si>
    <t xml:space="preserve">Amount</t>
  </si>
  <si>
    <t xml:space="preserve">SW3007</t>
  </si>
  <si>
    <t xml:space="preserve">R001</t>
  </si>
  <si>
    <t xml:space="preserve">Rajkot</t>
  </si>
  <si>
    <t xml:space="preserve">Sanjay</t>
  </si>
  <si>
    <t xml:space="preserve">31/08/2026</t>
  </si>
  <si>
    <t xml:space="preserve">01/09/2026</t>
  </si>
  <si>
    <t xml:space="preserve">SW3036</t>
  </si>
  <si>
    <t xml:space="preserve">R002</t>
  </si>
  <si>
    <t xml:space="preserve">Vadodara</t>
  </si>
  <si>
    <t xml:space="preserve">2026-08-01</t>
  </si>
  <si>
    <t xml:space="preserve">SW3064</t>
  </si>
  <si>
    <t xml:space="preserve">16/07/2026</t>
  </si>
  <si>
    <t xml:space="preserve">SW3008</t>
  </si>
  <si>
    <t xml:space="preserve">R005</t>
  </si>
  <si>
    <t xml:space="preserve">Ahmedabad</t>
  </si>
  <si>
    <t xml:space="preserve">Imran</t>
  </si>
  <si>
    <t xml:space="preserve">16/08/2026</t>
  </si>
  <si>
    <t xml:space="preserve">SW3031</t>
  </si>
  <si>
    <t xml:space="preserve">R007</t>
  </si>
  <si>
    <t xml:space="preserve">Dev</t>
  </si>
  <si>
    <t xml:space="preserve">2026-08-07</t>
  </si>
  <si>
    <t xml:space="preserve">SW3069</t>
  </si>
  <si>
    <t xml:space="preserve">R003</t>
  </si>
  <si>
    <t xml:space="preserve">Mumbai</t>
  </si>
  <si>
    <t xml:space="preserve">25-Jul-2026</t>
  </si>
  <si>
    <t xml:space="preserve">SW3066</t>
  </si>
  <si>
    <t xml:space="preserve">Neha</t>
  </si>
  <si>
    <t xml:space="preserve">2026-08-11</t>
  </si>
  <si>
    <t xml:space="preserve">2026-08-12</t>
  </si>
  <si>
    <t xml:space="preserve">SW3067</t>
  </si>
  <si>
    <t xml:space="preserve">R008</t>
  </si>
  <si>
    <t xml:space="preserve">04/08/2026</t>
  </si>
  <si>
    <t xml:space="preserve">05/08/2026</t>
  </si>
  <si>
    <t xml:space="preserve">SW3009</t>
  </si>
  <si>
    <t xml:space="preserve">Kiran</t>
  </si>
  <si>
    <t xml:space="preserve">2026-09-09</t>
  </si>
  <si>
    <t xml:space="preserve">2026-07-25</t>
  </si>
  <si>
    <t xml:space="preserve">SW3016</t>
  </si>
  <si>
    <t xml:space="preserve">7-Sep-2026</t>
  </si>
  <si>
    <t xml:space="preserve">8-Sep-2026</t>
  </si>
  <si>
    <t xml:space="preserve">SW3055</t>
  </si>
  <si>
    <t xml:space="preserve">2026-08-04</t>
  </si>
  <si>
    <t xml:space="preserve">SW3029</t>
  </si>
  <si>
    <t xml:space="preserve">1-Aug-2026</t>
  </si>
  <si>
    <t xml:space="preserve">2-Aug-2026</t>
  </si>
  <si>
    <t xml:space="preserve">SW3026</t>
  </si>
  <si>
    <t xml:space="preserve">16-Jul-2026</t>
  </si>
  <si>
    <t xml:space="preserve">17-Jul-2026</t>
  </si>
  <si>
    <t xml:space="preserve">SW3013</t>
  </si>
  <si>
    <t xml:space="preserve">Surat</t>
  </si>
  <si>
    <t xml:space="preserve">2026-08-02</t>
  </si>
  <si>
    <t xml:space="preserve">SW3048</t>
  </si>
  <si>
    <t xml:space="preserve">21/07/2026</t>
  </si>
  <si>
    <t xml:space="preserve">22/07/2026</t>
  </si>
  <si>
    <t xml:space="preserve">SW3001</t>
  </si>
  <si>
    <t xml:space="preserve">5-Sep-2026</t>
  </si>
  <si>
    <t xml:space="preserve">6-Sep-2026</t>
  </si>
  <si>
    <t xml:space="preserve">SW3072</t>
  </si>
  <si>
    <t xml:space="preserve">R006</t>
  </si>
  <si>
    <t xml:space="preserve">2026-09-13</t>
  </si>
  <si>
    <t xml:space="preserve">2026-09-14</t>
  </si>
  <si>
    <t xml:space="preserve">SW3024</t>
  </si>
  <si>
    <t xml:space="preserve">02/07/2026</t>
  </si>
  <si>
    <t xml:space="preserve">SW3058</t>
  </si>
  <si>
    <t xml:space="preserve">29/08/2026</t>
  </si>
  <si>
    <t xml:space="preserve">30/08/2026</t>
  </si>
  <si>
    <t xml:space="preserve">SW3050</t>
  </si>
  <si>
    <t xml:space="preserve">4-Jul-2026</t>
  </si>
  <si>
    <t xml:space="preserve">5-Jul-2026</t>
  </si>
  <si>
    <t xml:space="preserve">SW3017</t>
  </si>
  <si>
    <t xml:space="preserve">Pune</t>
  </si>
  <si>
    <t xml:space="preserve">Rohan</t>
  </si>
  <si>
    <t xml:space="preserve">SW3056</t>
  </si>
  <si>
    <t xml:space="preserve">8-Aug-2026</t>
  </si>
  <si>
    <t xml:space="preserve">9-Aug-2026</t>
  </si>
  <si>
    <t xml:space="preserve">SW3039</t>
  </si>
  <si>
    <t xml:space="preserve">2026-09-08</t>
  </si>
  <si>
    <t xml:space="preserve">SW3028</t>
  </si>
  <si>
    <t xml:space="preserve">05/07/2026</t>
  </si>
  <si>
    <t xml:space="preserve">06/07/2026</t>
  </si>
  <si>
    <t xml:space="preserve">SW3018</t>
  </si>
  <si>
    <t xml:space="preserve">R004</t>
  </si>
  <si>
    <t xml:space="preserve">SW3037</t>
  </si>
  <si>
    <t xml:space="preserve">2026-07-20</t>
  </si>
  <si>
    <t xml:space="preserve">SW3045</t>
  </si>
  <si>
    <t xml:space="preserve">20-Aug-2026</t>
  </si>
  <si>
    <t xml:space="preserve">SW3033</t>
  </si>
  <si>
    <t xml:space="preserve">22/08/2026</t>
  </si>
  <si>
    <t xml:space="preserve">SW3020</t>
  </si>
  <si>
    <t xml:space="preserve">17/08/2026</t>
  </si>
  <si>
    <t xml:space="preserve">SW3062</t>
  </si>
  <si>
    <t xml:space="preserve">SW3041</t>
  </si>
  <si>
    <t xml:space="preserve">2026-09-01</t>
  </si>
  <si>
    <t xml:space="preserve">2026-09-02</t>
  </si>
  <si>
    <t xml:space="preserve">SW3014</t>
  </si>
  <si>
    <t xml:space="preserve">10-Aug-2026</t>
  </si>
  <si>
    <t xml:space="preserve">11-Aug-2026</t>
  </si>
  <si>
    <t xml:space="preserve">SW3021</t>
  </si>
  <si>
    <t xml:space="preserve">14/07/2026</t>
  </si>
  <si>
    <t xml:space="preserve">SW3044</t>
  </si>
  <si>
    <t xml:space="preserve">13/09/2026</t>
  </si>
  <si>
    <t xml:space="preserve">14/09/2026</t>
  </si>
  <si>
    <t xml:space="preserve">SW3061</t>
  </si>
  <si>
    <t xml:space="preserve">11/09/2026</t>
  </si>
  <si>
    <t xml:space="preserve">12/09/2026</t>
  </si>
  <si>
    <t xml:space="preserve">SW3046</t>
  </si>
  <si>
    <t xml:space="preserve">19/08/2026</t>
  </si>
  <si>
    <t xml:space="preserve">SW3032</t>
  </si>
  <si>
    <t xml:space="preserve">20-Jul-2026</t>
  </si>
  <si>
    <t xml:space="preserve">SW3071</t>
  </si>
  <si>
    <t xml:space="preserve">2026-07-23</t>
  </si>
  <si>
    <t xml:space="preserve">SW3047</t>
  </si>
  <si>
    <t xml:space="preserve">31-Aug-2026</t>
  </si>
  <si>
    <t xml:space="preserve">SW3052</t>
  </si>
  <si>
    <t xml:space="preserve">2026-09-03</t>
  </si>
  <si>
    <t xml:space="preserve">SW3022</t>
  </si>
  <si>
    <t xml:space="preserve">27/08/2026</t>
  </si>
  <si>
    <t xml:space="preserve">SW3012</t>
  </si>
  <si>
    <t xml:space="preserve">1-Sep-2026</t>
  </si>
  <si>
    <t xml:space="preserve">SW3051</t>
  </si>
  <si>
    <t xml:space="preserve">SW3010</t>
  </si>
  <si>
    <t xml:space="preserve">2026-07-13</t>
  </si>
  <si>
    <t xml:space="preserve">2026-07-14</t>
  </si>
  <si>
    <t xml:space="preserve">SW3003</t>
  </si>
  <si>
    <t xml:space="preserve">2026-08-10</t>
  </si>
  <si>
    <t xml:space="preserve">6-Jul-2026</t>
  </si>
  <si>
    <t xml:space="preserve">SW3060</t>
  </si>
  <si>
    <t xml:space="preserve">2026-08-18</t>
  </si>
  <si>
    <t xml:space="preserve">SW3049</t>
  </si>
  <si>
    <t xml:space="preserve">07/08/2026</t>
  </si>
  <si>
    <t xml:space="preserve">08/08/2026</t>
  </si>
  <si>
    <t xml:space="preserve">SW3019</t>
  </si>
  <si>
    <t xml:space="preserve">24/08/2026</t>
  </si>
  <si>
    <t xml:space="preserve">SW3011</t>
  </si>
  <si>
    <t xml:space="preserve">2026-08-05</t>
  </si>
  <si>
    <t xml:space="preserve">SW3040</t>
  </si>
  <si>
    <t xml:space="preserve">27-Jul-2026</t>
  </si>
  <si>
    <t xml:space="preserve">28-Jul-2026</t>
  </si>
  <si>
    <t xml:space="preserve">SW3068</t>
  </si>
  <si>
    <t xml:space="preserve">21-Jul-2026</t>
  </si>
  <si>
    <t xml:space="preserve">SW3005</t>
  </si>
  <si>
    <t xml:space="preserve">22-Aug-2026</t>
  </si>
  <si>
    <t xml:space="preserve">SW3070</t>
  </si>
  <si>
    <t xml:space="preserve">SW3004</t>
  </si>
  <si>
    <t xml:space="preserve">07/09/2026</t>
  </si>
  <si>
    <t xml:space="preserve">SW3035</t>
  </si>
  <si>
    <t xml:space="preserve">17-Aug-2026</t>
  </si>
  <si>
    <t xml:space="preserve">SW3057</t>
  </si>
  <si>
    <t xml:space="preserve">15/07/2026</t>
  </si>
  <si>
    <t xml:space="preserve">SW3038</t>
  </si>
  <si>
    <t xml:space="preserve">19-Jul-2026</t>
  </si>
  <si>
    <t xml:space="preserve">11/08/2026</t>
  </si>
  <si>
    <t xml:space="preserve">12/08/2026</t>
  </si>
  <si>
    <t xml:space="preserve">SW3034</t>
  </si>
  <si>
    <t xml:space="preserve">SW3043</t>
  </si>
  <si>
    <t xml:space="preserve">SW3054</t>
  </si>
  <si>
    <t xml:space="preserve">2026-07-15</t>
  </si>
  <si>
    <t xml:space="preserve">2026-07-16</t>
  </si>
  <si>
    <t xml:space="preserve">SW3053</t>
  </si>
  <si>
    <t xml:space="preserve">2026-07-21</t>
  </si>
  <si>
    <t xml:space="preserve">SW3059</t>
  </si>
  <si>
    <t xml:space="preserve">2026-08-22</t>
  </si>
  <si>
    <t xml:space="preserve">SW3063</t>
  </si>
  <si>
    <t xml:space="preserve">27/07/2026</t>
  </si>
  <si>
    <t xml:space="preserve">28/07/2026</t>
  </si>
  <si>
    <t xml:space="preserve">SW3002</t>
  </si>
  <si>
    <t xml:space="preserve">SW3023</t>
  </si>
  <si>
    <t xml:space="preserve">29-Aug-2026</t>
  </si>
  <si>
    <t xml:space="preserve">30-Aug-2026</t>
  </si>
  <si>
    <t xml:space="preserve">SW3065</t>
  </si>
  <si>
    <t xml:space="preserve">24-Aug-2026</t>
  </si>
  <si>
    <t xml:space="preserve">25-Aug-2026</t>
  </si>
  <si>
    <t xml:space="preserve">SW3027</t>
  </si>
  <si>
    <t xml:space="preserve">15/08/2026</t>
  </si>
  <si>
    <t xml:space="preserve">SW3030</t>
  </si>
  <si>
    <t xml:space="preserve">23-Aug-2026</t>
  </si>
  <si>
    <t xml:space="preserve">SW3042</t>
  </si>
  <si>
    <t xml:space="preserve">2026-08-23</t>
  </si>
  <si>
    <t xml:space="preserve">19-Aug-2026</t>
  </si>
  <si>
    <t xml:space="preserve">SW3025</t>
  </si>
  <si>
    <t xml:space="preserve">13-Jul-2026</t>
  </si>
  <si>
    <t xml:space="preserve">SW3006</t>
  </si>
  <si>
    <t xml:space="preserve">13/08/2026</t>
  </si>
  <si>
    <t xml:space="preserve">SW3015</t>
  </si>
  <si>
    <t xml:space="preserve">21/08/2026</t>
  </si>
  <si>
    <t xml:space="preserve">Restaurant Name</t>
  </si>
  <si>
    <t xml:space="preserve">Delivery Day</t>
  </si>
  <si>
    <t xml:space="preserve">Weekday No (Mon=1)</t>
  </si>
  <si>
    <t xml:space="preserve">Unassigned</t>
  </si>
  <si>
    <t xml:space="preserve">Cuisine</t>
  </si>
  <si>
    <t xml:space="preserve">Burger King</t>
  </si>
  <si>
    <t xml:space="preserve">Fast Food</t>
  </si>
  <si>
    <t xml:space="preserve">Domino's</t>
  </si>
  <si>
    <t xml:space="preserve">Italian</t>
  </si>
  <si>
    <t xml:space="preserve">Pizza Hut</t>
  </si>
  <si>
    <t xml:space="preserve">Biryani Blues</t>
  </si>
  <si>
    <t xml:space="preserve">Indian</t>
  </si>
  <si>
    <t xml:space="preserve">Honest Restaurant</t>
  </si>
  <si>
    <t xml:space="preserve">Gwalia Sweets</t>
  </si>
  <si>
    <t xml:space="preserve">Desserts</t>
  </si>
  <si>
    <t xml:space="preserve">Wok Express</t>
  </si>
  <si>
    <t xml:space="preserve">Chinese</t>
  </si>
  <si>
    <t xml:space="preserve">KFC</t>
  </si>
  <si>
    <t xml:space="preserve">Step</t>
  </si>
  <si>
    <t xml:space="preserve">Excel feature</t>
  </si>
  <si>
    <t xml:space="preserve">Result</t>
  </si>
  <si>
    <t xml:space="preserve">Remove duplicate rows</t>
  </si>
  <si>
    <t xml:space="preserve">Data &gt; Remove Duplicates (all columns)</t>
  </si>
  <si>
    <t xml:space="preserve">80 rows -&gt; 72 rows (8 duplicates removed)</t>
  </si>
  <si>
    <t xml:space="preserve">Fix inconsistent date formats</t>
  </si>
  <si>
    <t xml:space="preserve">Data &gt; Text to Columns &gt; Date (or DATEVALUE); three text formats were mixed: yyyy-mm-dd, dd/mm/yyyy, d-mmm-yyyy</t>
  </si>
  <si>
    <t xml:space="preserve">Order Date and Delivery Date are now real dates (dd-mmm-yyyy)</t>
  </si>
  <si>
    <t xml:space="preserve">Fill missing Delivery Partner</t>
  </si>
  <si>
    <t xml:space="preserve">Home &gt; Find &amp; Select &gt; Go To Special &gt; Blanks &gt; type Unassigned &gt; Ctrl+Enter</t>
  </si>
  <si>
    <t xml:space="preserve">20 blank partners filled with 'Unassigned'</t>
  </si>
  <si>
    <t xml:space="preserve">Total Orders</t>
  </si>
  <si>
    <t xml:space="preserve">Total Delivery Charges (Rs)</t>
  </si>
  <si>
    <t xml:space="preserve">Grand total</t>
  </si>
  <si>
    <t xml:space="preserve">FOOD DELIVERY - MINI DASHBOARD</t>
  </si>
  <si>
    <t xml:space="preserve">City filter:</t>
  </si>
  <si>
    <t xml:space="preserve">All Cities</t>
  </si>
  <si>
    <t xml:space="preserve">TOTAL ORDERS</t>
  </si>
  <si>
    <t xml:space="preserve">AVG DELIVERY TIME (min)</t>
  </si>
  <si>
    <t xml:space="preserve">TOTAL DELIVERY CHARGES (Rs)</t>
  </si>
  <si>
    <t xml:space="preserve">TOP 3 RESTAURANTS BY ORDERS</t>
  </si>
  <si>
    <t xml:space="preserve">Change the yellow City filter (C3): all KPIs, the Top 3 table and the chart update together (slicer substitute).</t>
  </si>
  <si>
    <t xml:space="preserve">Helper table (feeds Top 3 and chart; follows the city filter)</t>
  </si>
  <si>
    <t xml:space="preserve">Restaurant</t>
  </si>
  <si>
    <t xml:space="preserve">Orders</t>
  </si>
  <si>
    <t xml:space="preserve">Rank score</t>
  </si>
  <si>
    <t xml:space="preserve">Filter</t>
  </si>
  <si>
    <t xml:space="preserve">Data</t>
  </si>
  <si>
    <t xml:space="preserve">Count - Order ID</t>
  </si>
  <si>
    <t xml:space="preserve">Sum - Delivery Charge</t>
  </si>
  <si>
    <t xml:space="preserve">Total Count - Order ID</t>
  </si>
  <si>
    <t xml:space="preserve">Total Sum - Delivery Charge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</si>
</sst>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dd\-mmm\-yyyy"/>
    <numFmt numFmtId="167" formatCode="#,##0"/>
    <numFmt numFmtId="168" formatCode="General"/>
    <numFmt numFmtId="169" formatCode="0.0"/>
    <numFmt numFmtId="170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C55A11"/>
        <bgColor rgb="FF99330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orders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T4_City_Summary!B1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T4_City_Summary!$A$2:$A$7</c:f>
              <c:strCache>
                <c:ptCount val="6"/>
                <c:pt idx="0">
                  <c:v>Ahmedabad</c:v>
                </c:pt>
                <c:pt idx="1">
                  <c:v>Surat</c:v>
                </c:pt>
                <c:pt idx="2">
                  <c:v>Vadodara</c:v>
                </c:pt>
                <c:pt idx="3">
                  <c:v>Rajkot</c:v>
                </c:pt>
                <c:pt idx="4">
                  <c:v>Pune</c:v>
                </c:pt>
                <c:pt idx="5">
                  <c:v>Mumbai</c:v>
                </c:pt>
              </c:strCache>
            </c:strRef>
          </c:cat>
          <c:val>
            <c:numRef>
              <c:f>T4_City_Summary!$B$2:$B$7</c:f>
              <c:numCache>
                <c:formatCode>General</c:formatCode>
                <c:ptCount val="6"/>
                <c:pt idx="0">
                  <c:v>9</c:v>
                </c:pt>
                <c:pt idx="1">
                  <c:v>5</c:v>
                </c:pt>
                <c:pt idx="2">
                  <c:v>13</c:v>
                </c:pt>
                <c:pt idx="3">
                  <c:v>16</c:v>
                </c:pt>
                <c:pt idx="4">
                  <c:v>14</c:v>
                </c:pt>
                <c:pt idx="5">
                  <c:v>15</c:v>
                </c:pt>
              </c:numCache>
            </c:numRef>
          </c:val>
        </c:ser>
        <c:gapWidth val="150"/>
        <c:overlap val="0"/>
        <c:axId val="84519488"/>
        <c:axId val="16044475"/>
      </c:barChart>
      <c:catAx>
        <c:axId val="8451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44475"/>
        <c:crosses val="autoZero"/>
        <c:auto val="1"/>
        <c:lblAlgn val="ctr"/>
        <c:lblOffset val="100"/>
        <c:noMultiLvlLbl val="0"/>
      </c:catAx>
      <c:valAx>
        <c:axId val="16044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194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 charges collected by city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T4_City_Summary!C1</c:f>
              <c:strCache>
                <c:ptCount val="1"/>
                <c:pt idx="0">
                  <c:v>Total Delivery Charges (Rs)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T4_City_Summary!$A$2:$A$7</c:f>
              <c:strCache>
                <c:ptCount val="6"/>
                <c:pt idx="0">
                  <c:v>Ahmedabad</c:v>
                </c:pt>
                <c:pt idx="1">
                  <c:v>Surat</c:v>
                </c:pt>
                <c:pt idx="2">
                  <c:v>Vadodara</c:v>
                </c:pt>
                <c:pt idx="3">
                  <c:v>Rajkot</c:v>
                </c:pt>
                <c:pt idx="4">
                  <c:v>Pune</c:v>
                </c:pt>
                <c:pt idx="5">
                  <c:v>Mumbai</c:v>
                </c:pt>
              </c:strCache>
            </c:strRef>
          </c:cat>
          <c:val>
            <c:numRef>
              <c:f>T4_City_Summary!$C$2:$C$7</c:f>
              <c:numCache>
                <c:formatCode>#,##0</c:formatCode>
                <c:ptCount val="6"/>
                <c:pt idx="0">
                  <c:v>240</c:v>
                </c:pt>
                <c:pt idx="1">
                  <c:v>170</c:v>
                </c:pt>
                <c:pt idx="2">
                  <c:v>480</c:v>
                </c:pt>
                <c:pt idx="3">
                  <c:v>505</c:v>
                </c:pt>
                <c:pt idx="4">
                  <c:v>445</c:v>
                </c:pt>
                <c:pt idx="5">
                  <c:v>455</c:v>
                </c:pt>
              </c:numCache>
            </c:numRef>
          </c:val>
        </c:ser>
        <c:gapWidth val="150"/>
        <c:overlap val="0"/>
        <c:axId val="57094019"/>
        <c:axId val="42736305"/>
      </c:barChart>
      <c:catAx>
        <c:axId val="570940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36305"/>
        <c:crosses val="autoZero"/>
        <c:auto val="1"/>
        <c:lblAlgn val="ctr"/>
        <c:lblOffset val="100"/>
        <c:noMultiLvlLbl val="0"/>
      </c:catAx>
      <c:valAx>
        <c:axId val="427363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940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restaurant (selected city)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T5_Dashboard!C29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T5_Dashboard!$B$30:$B$37</c:f>
              <c:strCache>
                <c:ptCount val="8"/>
                <c:pt idx="0">
                  <c:v>Burger King</c:v>
                </c:pt>
                <c:pt idx="1">
                  <c:v>Domino's</c:v>
                </c:pt>
                <c:pt idx="2">
                  <c:v>Pizza Hut</c:v>
                </c:pt>
                <c:pt idx="3">
                  <c:v>Biryani Blues</c:v>
                </c:pt>
                <c:pt idx="4">
                  <c:v>Honest Restaurant</c:v>
                </c:pt>
                <c:pt idx="5">
                  <c:v>Gwalia Sweets</c:v>
                </c:pt>
                <c:pt idx="6">
                  <c:v>Wok Express</c:v>
                </c:pt>
                <c:pt idx="7">
                  <c:v>KFC</c:v>
                </c:pt>
              </c:strCache>
            </c:strRef>
          </c:cat>
          <c:val>
            <c:numRef>
              <c:f>T5_Dashboard!$C$30:$C$37</c:f>
              <c:numCache>
                <c:formatCode>General</c:formatCode>
                <c:ptCount val="8"/>
                <c:pt idx="0">
                  <c:v>9</c:v>
                </c:pt>
                <c:pt idx="1">
                  <c:v>11</c:v>
                </c:pt>
                <c:pt idx="2">
                  <c:v>13</c:v>
                </c:pt>
                <c:pt idx="3">
                  <c:v>10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</c:numCache>
            </c:numRef>
          </c:val>
        </c:ser>
        <c:gapWidth val="150"/>
        <c:overlap val="0"/>
        <c:axId val="92635331"/>
        <c:axId val="11248622"/>
      </c:barChart>
      <c:catAx>
        <c:axId val="926353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48622"/>
        <c:crosses val="autoZero"/>
        <c:auto val="1"/>
        <c:lblAlgn val="ctr"/>
        <c:lblOffset val="100"/>
        <c:noMultiLvlLbl val="0"/>
      </c:catAx>
      <c:valAx>
        <c:axId val="11248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353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11</xdr:col>
      <xdr:colOff>39240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4911120" y="19044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0</xdr:rowOff>
    </xdr:from>
    <xdr:to>
      <xdr:col>11</xdr:col>
      <xdr:colOff>39240</xdr:colOff>
      <xdr:row>31</xdr:row>
      <xdr:rowOff>32760</xdr:rowOff>
    </xdr:to>
    <xdr:graphicFrame>
      <xdr:nvGraphicFramePr>
        <xdr:cNvPr id="1" name="Chart 2"/>
        <xdr:cNvGraphicFramePr/>
      </xdr:nvGraphicFramePr>
      <xdr:xfrm>
        <a:off x="4911120" y="32385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0</xdr:rowOff>
    </xdr:from>
    <xdr:to>
      <xdr:col>10</xdr:col>
      <xdr:colOff>458280</xdr:colOff>
      <xdr:row>22</xdr:row>
      <xdr:rowOff>11520</xdr:rowOff>
    </xdr:to>
    <xdr:graphicFrame>
      <xdr:nvGraphicFramePr>
        <xdr:cNvPr id="2" name="Chart 1"/>
        <xdr:cNvGraphicFramePr/>
      </xdr:nvGraphicFramePr>
      <xdr:xfrm>
        <a:off x="3806280" y="133344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2" createdVersion="3">
  <cacheSource type="worksheet">
    <worksheetSource ref="A1:L73" sheet="Orders_Clean"/>
  </cacheSource>
  <cacheFields count="12">
    <cacheField name="Order ID" numFmtId="0">
      <sharedItems count="72">
        <s v="SW3001"/>
        <s v="SW3002"/>
        <s v="SW3003"/>
        <s v="SW3004"/>
        <s v="SW3005"/>
        <s v="SW3006"/>
        <s v="SW3007"/>
        <s v="SW3008"/>
        <s v="SW3009"/>
        <s v="SW3010"/>
        <s v="SW3011"/>
        <s v="SW3012"/>
        <s v="SW3013"/>
        <s v="SW3014"/>
        <s v="SW3015"/>
        <s v="SW3016"/>
        <s v="SW3017"/>
        <s v="SW3018"/>
        <s v="SW3019"/>
        <s v="SW3020"/>
        <s v="SW3021"/>
        <s v="SW3022"/>
        <s v="SW3023"/>
        <s v="SW3024"/>
        <s v="SW3025"/>
        <s v="SW3026"/>
        <s v="SW3027"/>
        <s v="SW3028"/>
        <s v="SW3029"/>
        <s v="SW3030"/>
        <s v="SW3031"/>
        <s v="SW3032"/>
        <s v="SW3033"/>
        <s v="SW3034"/>
        <s v="SW3035"/>
        <s v="SW3036"/>
        <s v="SW3037"/>
        <s v="SW3038"/>
        <s v="SW3039"/>
        <s v="SW3040"/>
        <s v="SW3041"/>
        <s v="SW3042"/>
        <s v="SW3043"/>
        <s v="SW3044"/>
        <s v="SW3045"/>
        <s v="SW3046"/>
        <s v="SW3047"/>
        <s v="SW3048"/>
        <s v="SW3049"/>
        <s v="SW3050"/>
        <s v="SW3051"/>
        <s v="SW3052"/>
        <s v="SW3053"/>
        <s v="SW3054"/>
        <s v="SW3055"/>
        <s v="SW3056"/>
        <s v="SW3057"/>
        <s v="SW3058"/>
        <s v="SW3059"/>
        <s v="SW3060"/>
        <s v="SW3061"/>
        <s v="SW3062"/>
        <s v="SW3063"/>
        <s v="SW3064"/>
        <s v="SW3065"/>
        <s v="SW3066"/>
        <s v="SW3067"/>
        <s v="SW3068"/>
        <s v="SW3069"/>
        <s v="SW3070"/>
        <s v="SW3071"/>
        <s v="SW3072"/>
      </sharedItems>
    </cacheField>
    <cacheField name="Restaurant ID" numFmtId="0">
      <sharedItems count="8">
        <s v="R001"/>
        <s v="R002"/>
        <s v="R003"/>
        <s v="R004"/>
        <s v="R005"/>
        <s v="R006"/>
        <s v="R007"/>
        <s v="R008"/>
      </sharedItems>
    </cacheField>
    <cacheField name="City" numFmtId="0">
      <sharedItems count="6">
        <s v="Ahmedabad"/>
        <s v="Mumbai"/>
        <s v="Pune"/>
        <s v="Rajkot"/>
        <s v="Surat"/>
        <s v="Vadodara"/>
      </sharedItems>
    </cacheField>
    <cacheField name="Delivery Partner" numFmtId="0">
      <sharedItems count="7">
        <s v="Dev"/>
        <s v="Imran"/>
        <s v="Kiran"/>
        <s v="Neha"/>
        <s v="Rohan"/>
        <s v="Sanjay"/>
        <s v="Unassigned"/>
      </sharedItems>
    </cacheField>
    <cacheField name="Order Date" numFmtId="0">
      <sharedItems containsSemiMixedTypes="0" containsNonDate="0" containsDate="1" containsString="0" minDate="2026-07-02T00:00:00" maxDate="2026-09-13T00:00:00" count="43">
        <d v="2026-07-02T00:00:00"/>
        <d v="2026-07-04T00:00:00"/>
        <d v="2026-07-05T00:00:00"/>
        <d v="2026-07-13T00:00:00"/>
        <d v="2026-07-14T00:00:00"/>
        <d v="2026-07-15T00:00:00"/>
        <d v="2026-07-16T00:00:00"/>
        <d v="2026-07-19T00:00:00"/>
        <d v="2026-07-20T00:00:00"/>
        <d v="2026-07-21T00:00:00"/>
        <d v="2026-07-23T00:00:00"/>
        <d v="2026-07-25T00:00:00"/>
        <d v="2026-07-27T00:00:00"/>
        <d v="2026-08-01T00:00:00"/>
        <d v="2026-08-02T00:00:00"/>
        <d v="2026-08-04T00:00:00"/>
        <d v="2026-08-07T00:00:00"/>
        <d v="2026-08-08T00:00:00"/>
        <d v="2026-08-10T00:00:00"/>
        <d v="2026-08-11T00:00:00"/>
        <d v="2026-08-13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7T00:00:00"/>
        <d v="2026-08-29T00:00:00"/>
        <d v="2026-08-30T00:00:00"/>
        <d v="2026-08-31T00:00:00"/>
        <d v="2026-09-01T00:00:00"/>
        <d v="2026-09-02T00:00:00"/>
        <d v="2026-09-05T00:00:00"/>
        <d v="2026-09-07T00:00:00"/>
        <d v="2026-09-08T00:00:00"/>
        <d v="2026-09-09T00:00:00"/>
        <d v="2026-09-11T00:00:00"/>
        <d v="2026-09-13T00:00:00"/>
      </sharedItems>
    </cacheField>
    <cacheField name="Delivery Date" numFmtId="0">
      <sharedItems containsSemiMixedTypes="0" containsNonDate="0" containsDate="1" containsString="0" minDate="2026-07-02T00:00:00" maxDate="2026-09-14T00:00:00" count="45">
        <d v="2026-07-02T00:00:00"/>
        <d v="2026-07-05T00:00:00"/>
        <d v="2026-07-06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5T00:00:00"/>
        <d v="2026-07-28T00:00:00"/>
        <d v="2026-08-01T00:00:00"/>
        <d v="2026-08-02T00:00:00"/>
        <d v="2026-08-04T00:00:00"/>
        <d v="2026-08-05T00:00:00"/>
        <d v="2026-08-07T00:00:00"/>
        <d v="2026-08-08T00:00:00"/>
        <d v="2026-08-09T00:00:00"/>
        <d v="2026-08-11T00:00:00"/>
        <d v="2026-08-12T00:00:00"/>
        <d v="2026-08-13T00:00:00"/>
        <d v="2026-08-16T00:00:00"/>
        <d v="2026-08-17T00:00:00"/>
        <d v="2026-08-18T00:00:00"/>
        <d v="2026-08-19T00:00:00"/>
        <d v="2026-08-20T00:00:00"/>
        <d v="2026-08-22T00:00:00"/>
        <d v="2026-08-23T00:00:00"/>
        <d v="2026-08-24T00:00:00"/>
        <d v="2026-08-25T00:00:00"/>
        <d v="2026-08-27T00:00:00"/>
        <d v="2026-08-30T00:00:00"/>
        <d v="2026-08-31T00:00:00"/>
        <d v="2026-09-01T00:00:00"/>
        <d v="2026-09-02T00:00:00"/>
        <d v="2026-09-03T00:00:00"/>
        <d v="2026-09-06T00:00:00"/>
        <d v="2026-09-07T00:00:00"/>
        <d v="2026-09-08T00:00:00"/>
        <d v="2026-09-09T00:00:00"/>
        <d v="2026-09-12T00:00:00"/>
        <d v="2026-09-14T00:00:00"/>
      </sharedItems>
    </cacheField>
    <cacheField name="Delivery Time (min)" numFmtId="0">
      <sharedItems containsSemiMixedTypes="0" containsString="0" containsNumber="1" containsInteger="1" minValue="18" maxValue="58" count="34">
        <n v="18"/>
        <n v="19"/>
        <n v="20"/>
        <n v="21"/>
        <n v="22"/>
        <n v="23"/>
        <n v="24"/>
        <n v="26"/>
        <n v="27"/>
        <n v="29"/>
        <n v="30"/>
        <n v="31"/>
        <n v="32"/>
        <n v="33"/>
        <n v="34"/>
        <n v="36"/>
        <n v="37"/>
        <n v="38"/>
        <n v="39"/>
        <n v="40"/>
        <n v="43"/>
        <n v="44"/>
        <n v="46"/>
        <n v="47"/>
        <n v="48"/>
        <n v="49"/>
        <n v="50"/>
        <n v="51"/>
        <n v="52"/>
        <n v="54"/>
        <n v="55"/>
        <n v="56"/>
        <n v="57"/>
        <n v="58"/>
      </sharedItems>
    </cacheField>
    <cacheField name="Delivery Charge" numFmtId="0">
      <sharedItems containsSemiMixedTypes="0" containsString="0" containsNumber="1" containsInteger="1" minValue="0" maxValue="50" count="6">
        <n v="0"/>
        <n v="25"/>
        <n v="30"/>
        <n v="40"/>
        <n v="45"/>
        <n v="50"/>
      </sharedItems>
    </cacheField>
    <cacheField name="Amount" numFmtId="0">
      <sharedItems containsSemiMixedTypes="0" containsString="0" containsNumber="1" containsInteger="1" minValue="160" maxValue="1390" count="52">
        <n v="160"/>
        <n v="260"/>
        <n v="280"/>
        <n v="340"/>
        <n v="390"/>
        <n v="400"/>
        <n v="420"/>
        <n v="430"/>
        <n v="440"/>
        <n v="450"/>
        <n v="490"/>
        <n v="500"/>
        <n v="530"/>
        <n v="540"/>
        <n v="550"/>
        <n v="560"/>
        <n v="570"/>
        <n v="590"/>
        <n v="610"/>
        <n v="630"/>
        <n v="650"/>
        <n v="740"/>
        <n v="790"/>
        <n v="810"/>
        <n v="820"/>
        <n v="830"/>
        <n v="840"/>
        <n v="850"/>
        <n v="950"/>
        <n v="990"/>
        <n v="1000"/>
        <n v="1010"/>
        <n v="1020"/>
        <n v="1060"/>
        <n v="1070"/>
        <n v="1110"/>
        <n v="1120"/>
        <n v="1130"/>
        <n v="1140"/>
        <n v="1150"/>
        <n v="1160"/>
        <n v="1170"/>
        <n v="1180"/>
        <n v="1220"/>
        <n v="1260"/>
        <n v="1270"/>
        <n v="1280"/>
        <n v="1320"/>
        <n v="1350"/>
        <n v="1360"/>
        <n v="1370"/>
        <n v="1390"/>
      </sharedItems>
    </cacheField>
    <cacheField name="Restaurant Name" numFmtId="0">
      <sharedItems count="8">
        <s v="Biryani Blues"/>
        <s v="Burger King"/>
        <s v="Domino's"/>
        <s v="Gwalia Sweets"/>
        <s v="Honest Restaurant"/>
        <s v="KFC"/>
        <s v="Pizza Hut"/>
        <s v="Wok Express"/>
      </sharedItems>
    </cacheField>
    <cacheField name="Delivery Day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Weekday No (Mon=1)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">
  <r>
    <x v="0"/>
    <x v="4"/>
    <x v="5"/>
    <x v="3"/>
    <x v="37"/>
    <x v="39"/>
    <x v="28"/>
    <x v="5"/>
    <x v="11"/>
    <x v="4"/>
    <x v="3"/>
    <x v="6"/>
  </r>
  <r>
    <x v="1"/>
    <x v="3"/>
    <x v="3"/>
    <x v="0"/>
    <x v="5"/>
    <x v="5"/>
    <x v="14"/>
    <x v="4"/>
    <x v="41"/>
    <x v="0"/>
    <x v="6"/>
    <x v="2"/>
  </r>
  <r>
    <x v="2"/>
    <x v="2"/>
    <x v="2"/>
    <x v="6"/>
    <x v="18"/>
    <x v="21"/>
    <x v="10"/>
    <x v="1"/>
    <x v="45"/>
    <x v="6"/>
    <x v="5"/>
    <x v="1"/>
  </r>
  <r>
    <x v="3"/>
    <x v="5"/>
    <x v="2"/>
    <x v="6"/>
    <x v="38"/>
    <x v="40"/>
    <x v="33"/>
    <x v="0"/>
    <x v="13"/>
    <x v="3"/>
    <x v="1"/>
    <x v="0"/>
  </r>
  <r>
    <x v="4"/>
    <x v="7"/>
    <x v="1"/>
    <x v="1"/>
    <x v="28"/>
    <x v="29"/>
    <x v="21"/>
    <x v="4"/>
    <x v="47"/>
    <x v="5"/>
    <x v="2"/>
    <x v="5"/>
  </r>
  <r>
    <x v="5"/>
    <x v="6"/>
    <x v="5"/>
    <x v="3"/>
    <x v="20"/>
    <x v="23"/>
    <x v="19"/>
    <x v="0"/>
    <x v="50"/>
    <x v="7"/>
    <x v="4"/>
    <x v="3"/>
  </r>
  <r>
    <x v="6"/>
    <x v="0"/>
    <x v="3"/>
    <x v="5"/>
    <x v="34"/>
    <x v="36"/>
    <x v="11"/>
    <x v="1"/>
    <x v="24"/>
    <x v="1"/>
    <x v="5"/>
    <x v="1"/>
  </r>
  <r>
    <x v="7"/>
    <x v="4"/>
    <x v="0"/>
    <x v="1"/>
    <x v="22"/>
    <x v="24"/>
    <x v="31"/>
    <x v="4"/>
    <x v="25"/>
    <x v="4"/>
    <x v="3"/>
    <x v="6"/>
  </r>
  <r>
    <x v="8"/>
    <x v="4"/>
    <x v="1"/>
    <x v="2"/>
    <x v="40"/>
    <x v="42"/>
    <x v="17"/>
    <x v="1"/>
    <x v="16"/>
    <x v="4"/>
    <x v="6"/>
    <x v="2"/>
  </r>
  <r>
    <x v="9"/>
    <x v="5"/>
    <x v="0"/>
    <x v="6"/>
    <x v="3"/>
    <x v="4"/>
    <x v="19"/>
    <x v="0"/>
    <x v="21"/>
    <x v="3"/>
    <x v="5"/>
    <x v="1"/>
  </r>
  <r>
    <x v="10"/>
    <x v="0"/>
    <x v="1"/>
    <x v="2"/>
    <x v="15"/>
    <x v="17"/>
    <x v="4"/>
    <x v="5"/>
    <x v="33"/>
    <x v="1"/>
    <x v="6"/>
    <x v="2"/>
  </r>
  <r>
    <x v="11"/>
    <x v="2"/>
    <x v="3"/>
    <x v="5"/>
    <x v="35"/>
    <x v="36"/>
    <x v="20"/>
    <x v="1"/>
    <x v="5"/>
    <x v="6"/>
    <x v="5"/>
    <x v="1"/>
  </r>
  <r>
    <x v="12"/>
    <x v="1"/>
    <x v="4"/>
    <x v="6"/>
    <x v="14"/>
    <x v="15"/>
    <x v="28"/>
    <x v="2"/>
    <x v="42"/>
    <x v="2"/>
    <x v="3"/>
    <x v="6"/>
  </r>
  <r>
    <x v="13"/>
    <x v="0"/>
    <x v="4"/>
    <x v="4"/>
    <x v="18"/>
    <x v="21"/>
    <x v="16"/>
    <x v="2"/>
    <x v="29"/>
    <x v="1"/>
    <x v="5"/>
    <x v="1"/>
  </r>
  <r>
    <x v="14"/>
    <x v="1"/>
    <x v="2"/>
    <x v="6"/>
    <x v="27"/>
    <x v="29"/>
    <x v="33"/>
    <x v="1"/>
    <x v="7"/>
    <x v="2"/>
    <x v="2"/>
    <x v="5"/>
  </r>
  <r>
    <x v="15"/>
    <x v="2"/>
    <x v="5"/>
    <x v="6"/>
    <x v="38"/>
    <x v="41"/>
    <x v="25"/>
    <x v="4"/>
    <x v="20"/>
    <x v="6"/>
    <x v="5"/>
    <x v="1"/>
  </r>
  <r>
    <x v="16"/>
    <x v="6"/>
    <x v="2"/>
    <x v="4"/>
    <x v="35"/>
    <x v="36"/>
    <x v="23"/>
    <x v="1"/>
    <x v="8"/>
    <x v="7"/>
    <x v="5"/>
    <x v="1"/>
  </r>
  <r>
    <x v="17"/>
    <x v="3"/>
    <x v="5"/>
    <x v="3"/>
    <x v="34"/>
    <x v="36"/>
    <x v="29"/>
    <x v="4"/>
    <x v="23"/>
    <x v="0"/>
    <x v="5"/>
    <x v="1"/>
  </r>
  <r>
    <x v="18"/>
    <x v="5"/>
    <x v="2"/>
    <x v="5"/>
    <x v="30"/>
    <x v="31"/>
    <x v="12"/>
    <x v="4"/>
    <x v="14"/>
    <x v="3"/>
    <x v="1"/>
    <x v="0"/>
  </r>
  <r>
    <x v="19"/>
    <x v="3"/>
    <x v="5"/>
    <x v="0"/>
    <x v="23"/>
    <x v="25"/>
    <x v="30"/>
    <x v="0"/>
    <x v="23"/>
    <x v="0"/>
    <x v="1"/>
    <x v="0"/>
  </r>
  <r>
    <x v="20"/>
    <x v="3"/>
    <x v="2"/>
    <x v="5"/>
    <x v="4"/>
    <x v="4"/>
    <x v="9"/>
    <x v="3"/>
    <x v="21"/>
    <x v="0"/>
    <x v="5"/>
    <x v="1"/>
  </r>
  <r>
    <x v="21"/>
    <x v="7"/>
    <x v="3"/>
    <x v="6"/>
    <x v="31"/>
    <x v="33"/>
    <x v="14"/>
    <x v="1"/>
    <x v="0"/>
    <x v="5"/>
    <x v="4"/>
    <x v="3"/>
  </r>
  <r>
    <x v="22"/>
    <x v="5"/>
    <x v="4"/>
    <x v="6"/>
    <x v="32"/>
    <x v="34"/>
    <x v="6"/>
    <x v="4"/>
    <x v="30"/>
    <x v="3"/>
    <x v="3"/>
    <x v="6"/>
  </r>
  <r>
    <x v="23"/>
    <x v="1"/>
    <x v="3"/>
    <x v="2"/>
    <x v="0"/>
    <x v="0"/>
    <x v="32"/>
    <x v="1"/>
    <x v="38"/>
    <x v="2"/>
    <x v="4"/>
    <x v="3"/>
  </r>
  <r>
    <x v="24"/>
    <x v="7"/>
    <x v="2"/>
    <x v="1"/>
    <x v="3"/>
    <x v="3"/>
    <x v="1"/>
    <x v="3"/>
    <x v="40"/>
    <x v="5"/>
    <x v="1"/>
    <x v="0"/>
  </r>
  <r>
    <x v="25"/>
    <x v="0"/>
    <x v="1"/>
    <x v="1"/>
    <x v="6"/>
    <x v="7"/>
    <x v="28"/>
    <x v="2"/>
    <x v="10"/>
    <x v="1"/>
    <x v="0"/>
    <x v="4"/>
  </r>
  <r>
    <x v="26"/>
    <x v="6"/>
    <x v="3"/>
    <x v="5"/>
    <x v="21"/>
    <x v="24"/>
    <x v="18"/>
    <x v="0"/>
    <x v="35"/>
    <x v="7"/>
    <x v="3"/>
    <x v="6"/>
  </r>
  <r>
    <x v="27"/>
    <x v="5"/>
    <x v="5"/>
    <x v="6"/>
    <x v="2"/>
    <x v="2"/>
    <x v="7"/>
    <x v="4"/>
    <x v="43"/>
    <x v="3"/>
    <x v="1"/>
    <x v="0"/>
  </r>
  <r>
    <x v="28"/>
    <x v="4"/>
    <x v="3"/>
    <x v="6"/>
    <x v="13"/>
    <x v="15"/>
    <x v="13"/>
    <x v="0"/>
    <x v="32"/>
    <x v="4"/>
    <x v="3"/>
    <x v="6"/>
  </r>
  <r>
    <x v="29"/>
    <x v="3"/>
    <x v="3"/>
    <x v="1"/>
    <x v="29"/>
    <x v="31"/>
    <x v="26"/>
    <x v="4"/>
    <x v="3"/>
    <x v="0"/>
    <x v="1"/>
    <x v="0"/>
  </r>
  <r>
    <x v="30"/>
    <x v="6"/>
    <x v="3"/>
    <x v="0"/>
    <x v="16"/>
    <x v="18"/>
    <x v="27"/>
    <x v="4"/>
    <x v="36"/>
    <x v="7"/>
    <x v="0"/>
    <x v="4"/>
  </r>
  <r>
    <x v="31"/>
    <x v="2"/>
    <x v="2"/>
    <x v="2"/>
    <x v="8"/>
    <x v="8"/>
    <x v="25"/>
    <x v="2"/>
    <x v="50"/>
    <x v="6"/>
    <x v="1"/>
    <x v="0"/>
  </r>
  <r>
    <x v="32"/>
    <x v="3"/>
    <x v="4"/>
    <x v="1"/>
    <x v="28"/>
    <x v="29"/>
    <x v="13"/>
    <x v="3"/>
    <x v="27"/>
    <x v="0"/>
    <x v="2"/>
    <x v="5"/>
  </r>
  <r>
    <x v="33"/>
    <x v="2"/>
    <x v="5"/>
    <x v="0"/>
    <x v="19"/>
    <x v="22"/>
    <x v="14"/>
    <x v="4"/>
    <x v="4"/>
    <x v="6"/>
    <x v="6"/>
    <x v="2"/>
  </r>
  <r>
    <x v="34"/>
    <x v="1"/>
    <x v="5"/>
    <x v="0"/>
    <x v="23"/>
    <x v="25"/>
    <x v="5"/>
    <x v="4"/>
    <x v="19"/>
    <x v="2"/>
    <x v="1"/>
    <x v="0"/>
  </r>
  <r>
    <x v="35"/>
    <x v="1"/>
    <x v="5"/>
    <x v="6"/>
    <x v="13"/>
    <x v="14"/>
    <x v="18"/>
    <x v="3"/>
    <x v="15"/>
    <x v="2"/>
    <x v="2"/>
    <x v="5"/>
  </r>
  <r>
    <x v="36"/>
    <x v="4"/>
    <x v="5"/>
    <x v="2"/>
    <x v="8"/>
    <x v="8"/>
    <x v="29"/>
    <x v="4"/>
    <x v="28"/>
    <x v="4"/>
    <x v="1"/>
    <x v="0"/>
  </r>
  <r>
    <x v="37"/>
    <x v="1"/>
    <x v="1"/>
    <x v="2"/>
    <x v="7"/>
    <x v="8"/>
    <x v="13"/>
    <x v="1"/>
    <x v="6"/>
    <x v="2"/>
    <x v="1"/>
    <x v="0"/>
  </r>
  <r>
    <x v="38"/>
    <x v="6"/>
    <x v="3"/>
    <x v="4"/>
    <x v="39"/>
    <x v="42"/>
    <x v="16"/>
    <x v="3"/>
    <x v="51"/>
    <x v="7"/>
    <x v="6"/>
    <x v="2"/>
  </r>
  <r>
    <x v="39"/>
    <x v="0"/>
    <x v="0"/>
    <x v="5"/>
    <x v="12"/>
    <x v="13"/>
    <x v="3"/>
    <x v="2"/>
    <x v="31"/>
    <x v="1"/>
    <x v="5"/>
    <x v="1"/>
  </r>
  <r>
    <x v="40"/>
    <x v="6"/>
    <x v="2"/>
    <x v="2"/>
    <x v="35"/>
    <x v="37"/>
    <x v="22"/>
    <x v="1"/>
    <x v="35"/>
    <x v="7"/>
    <x v="6"/>
    <x v="2"/>
  </r>
  <r>
    <x v="41"/>
    <x v="3"/>
    <x v="4"/>
    <x v="3"/>
    <x v="29"/>
    <x v="30"/>
    <x v="10"/>
    <x v="1"/>
    <x v="36"/>
    <x v="0"/>
    <x v="3"/>
    <x v="6"/>
  </r>
  <r>
    <x v="42"/>
    <x v="7"/>
    <x v="1"/>
    <x v="3"/>
    <x v="24"/>
    <x v="26"/>
    <x v="26"/>
    <x v="1"/>
    <x v="48"/>
    <x v="5"/>
    <x v="5"/>
    <x v="1"/>
  </r>
  <r>
    <x v="43"/>
    <x v="7"/>
    <x v="1"/>
    <x v="6"/>
    <x v="42"/>
    <x v="44"/>
    <x v="13"/>
    <x v="3"/>
    <x v="37"/>
    <x v="5"/>
    <x v="1"/>
    <x v="0"/>
  </r>
  <r>
    <x v="44"/>
    <x v="6"/>
    <x v="3"/>
    <x v="3"/>
    <x v="26"/>
    <x v="28"/>
    <x v="13"/>
    <x v="2"/>
    <x v="49"/>
    <x v="7"/>
    <x v="4"/>
    <x v="3"/>
  </r>
  <r>
    <x v="45"/>
    <x v="2"/>
    <x v="3"/>
    <x v="6"/>
    <x v="25"/>
    <x v="27"/>
    <x v="6"/>
    <x v="3"/>
    <x v="44"/>
    <x v="6"/>
    <x v="6"/>
    <x v="2"/>
  </r>
  <r>
    <x v="46"/>
    <x v="2"/>
    <x v="3"/>
    <x v="6"/>
    <x v="34"/>
    <x v="35"/>
    <x v="24"/>
    <x v="1"/>
    <x v="5"/>
    <x v="6"/>
    <x v="1"/>
    <x v="0"/>
  </r>
  <r>
    <x v="47"/>
    <x v="2"/>
    <x v="0"/>
    <x v="2"/>
    <x v="9"/>
    <x v="10"/>
    <x v="22"/>
    <x v="0"/>
    <x v="1"/>
    <x v="6"/>
    <x v="6"/>
    <x v="2"/>
  </r>
  <r>
    <x v="48"/>
    <x v="4"/>
    <x v="1"/>
    <x v="2"/>
    <x v="16"/>
    <x v="19"/>
    <x v="29"/>
    <x v="0"/>
    <x v="38"/>
    <x v="4"/>
    <x v="2"/>
    <x v="5"/>
  </r>
  <r>
    <x v="49"/>
    <x v="1"/>
    <x v="1"/>
    <x v="6"/>
    <x v="1"/>
    <x v="1"/>
    <x v="15"/>
    <x v="4"/>
    <x v="17"/>
    <x v="2"/>
    <x v="3"/>
    <x v="6"/>
  </r>
  <r>
    <x v="50"/>
    <x v="1"/>
    <x v="0"/>
    <x v="0"/>
    <x v="34"/>
    <x v="35"/>
    <x v="22"/>
    <x v="2"/>
    <x v="41"/>
    <x v="2"/>
    <x v="1"/>
    <x v="0"/>
  </r>
  <r>
    <x v="51"/>
    <x v="3"/>
    <x v="0"/>
    <x v="4"/>
    <x v="36"/>
    <x v="38"/>
    <x v="19"/>
    <x v="4"/>
    <x v="39"/>
    <x v="0"/>
    <x v="4"/>
    <x v="3"/>
  </r>
  <r>
    <x v="52"/>
    <x v="1"/>
    <x v="2"/>
    <x v="4"/>
    <x v="8"/>
    <x v="9"/>
    <x v="2"/>
    <x v="5"/>
    <x v="20"/>
    <x v="2"/>
    <x v="5"/>
    <x v="1"/>
  </r>
  <r>
    <x v="53"/>
    <x v="2"/>
    <x v="1"/>
    <x v="0"/>
    <x v="5"/>
    <x v="6"/>
    <x v="3"/>
    <x v="5"/>
    <x v="46"/>
    <x v="6"/>
    <x v="4"/>
    <x v="3"/>
  </r>
  <r>
    <x v="54"/>
    <x v="1"/>
    <x v="0"/>
    <x v="1"/>
    <x v="15"/>
    <x v="16"/>
    <x v="16"/>
    <x v="5"/>
    <x v="12"/>
    <x v="2"/>
    <x v="5"/>
    <x v="1"/>
  </r>
  <r>
    <x v="55"/>
    <x v="0"/>
    <x v="3"/>
    <x v="6"/>
    <x v="17"/>
    <x v="20"/>
    <x v="0"/>
    <x v="5"/>
    <x v="21"/>
    <x v="1"/>
    <x v="3"/>
    <x v="6"/>
  </r>
  <r>
    <x v="56"/>
    <x v="5"/>
    <x v="1"/>
    <x v="4"/>
    <x v="4"/>
    <x v="5"/>
    <x v="25"/>
    <x v="0"/>
    <x v="25"/>
    <x v="3"/>
    <x v="6"/>
    <x v="2"/>
  </r>
  <r>
    <x v="57"/>
    <x v="1"/>
    <x v="1"/>
    <x v="3"/>
    <x v="32"/>
    <x v="34"/>
    <x v="8"/>
    <x v="0"/>
    <x v="31"/>
    <x v="2"/>
    <x v="3"/>
    <x v="6"/>
  </r>
  <r>
    <x v="58"/>
    <x v="2"/>
    <x v="2"/>
    <x v="2"/>
    <x v="19"/>
    <x v="21"/>
    <x v="21"/>
    <x v="0"/>
    <x v="2"/>
    <x v="6"/>
    <x v="5"/>
    <x v="1"/>
  </r>
  <r>
    <x v="59"/>
    <x v="7"/>
    <x v="2"/>
    <x v="3"/>
    <x v="24"/>
    <x v="26"/>
    <x v="14"/>
    <x v="4"/>
    <x v="9"/>
    <x v="5"/>
    <x v="5"/>
    <x v="1"/>
  </r>
  <r>
    <x v="60"/>
    <x v="2"/>
    <x v="1"/>
    <x v="2"/>
    <x v="41"/>
    <x v="43"/>
    <x v="12"/>
    <x v="5"/>
    <x v="14"/>
    <x v="6"/>
    <x v="2"/>
    <x v="5"/>
  </r>
  <r>
    <x v="61"/>
    <x v="3"/>
    <x v="2"/>
    <x v="6"/>
    <x v="33"/>
    <x v="35"/>
    <x v="11"/>
    <x v="4"/>
    <x v="21"/>
    <x v="0"/>
    <x v="1"/>
    <x v="0"/>
  </r>
  <r>
    <x v="62"/>
    <x v="6"/>
    <x v="5"/>
    <x v="5"/>
    <x v="12"/>
    <x v="13"/>
    <x v="3"/>
    <x v="1"/>
    <x v="50"/>
    <x v="7"/>
    <x v="5"/>
    <x v="1"/>
  </r>
  <r>
    <x v="63"/>
    <x v="0"/>
    <x v="5"/>
    <x v="6"/>
    <x v="6"/>
    <x v="6"/>
    <x v="14"/>
    <x v="5"/>
    <x v="18"/>
    <x v="1"/>
    <x v="4"/>
    <x v="3"/>
  </r>
  <r>
    <x v="64"/>
    <x v="0"/>
    <x v="2"/>
    <x v="4"/>
    <x v="30"/>
    <x v="32"/>
    <x v="1"/>
    <x v="5"/>
    <x v="26"/>
    <x v="1"/>
    <x v="5"/>
    <x v="1"/>
  </r>
  <r>
    <x v="65"/>
    <x v="2"/>
    <x v="5"/>
    <x v="3"/>
    <x v="19"/>
    <x v="22"/>
    <x v="17"/>
    <x v="4"/>
    <x v="9"/>
    <x v="6"/>
    <x v="6"/>
    <x v="2"/>
  </r>
  <r>
    <x v="66"/>
    <x v="7"/>
    <x v="0"/>
    <x v="6"/>
    <x v="15"/>
    <x v="17"/>
    <x v="7"/>
    <x v="3"/>
    <x v="22"/>
    <x v="5"/>
    <x v="6"/>
    <x v="2"/>
  </r>
  <r>
    <x v="67"/>
    <x v="0"/>
    <x v="0"/>
    <x v="0"/>
    <x v="8"/>
    <x v="9"/>
    <x v="20"/>
    <x v="0"/>
    <x v="11"/>
    <x v="1"/>
    <x v="5"/>
    <x v="1"/>
  </r>
  <r>
    <x v="68"/>
    <x v="2"/>
    <x v="1"/>
    <x v="6"/>
    <x v="11"/>
    <x v="12"/>
    <x v="23"/>
    <x v="2"/>
    <x v="3"/>
    <x v="6"/>
    <x v="2"/>
    <x v="5"/>
  </r>
  <r>
    <x v="69"/>
    <x v="6"/>
    <x v="1"/>
    <x v="3"/>
    <x v="33"/>
    <x v="34"/>
    <x v="22"/>
    <x v="3"/>
    <x v="1"/>
    <x v="7"/>
    <x v="3"/>
    <x v="6"/>
  </r>
  <r>
    <x v="70"/>
    <x v="3"/>
    <x v="3"/>
    <x v="4"/>
    <x v="10"/>
    <x v="11"/>
    <x v="14"/>
    <x v="4"/>
    <x v="34"/>
    <x v="0"/>
    <x v="4"/>
    <x v="3"/>
  </r>
  <r>
    <x v="71"/>
    <x v="5"/>
    <x v="3"/>
    <x v="0"/>
    <x v="42"/>
    <x v="44"/>
    <x v="0"/>
    <x v="3"/>
    <x v="41"/>
    <x v="3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_Cit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4:C18" firstHeaderRow="1" firstDataRow="1" firstDataCol="2"/>
  <pivotFields count="12">
    <pivotField dataField="1" compact="0" showAll="0"/>
    <pivotField compact="0" showAll="0"/>
    <pivotField axis="axisRow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</pivotFields>
  <rowFields count="1">
    <field x="2"/>
  </rowFields>
  <dataFields count="2">
    <dataField name="Count - Order ID" fld="0" subtotal="count" numFmtId="164"/>
    <dataField name="Sum - Delivery Charge" fld="7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35.0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23.8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23.8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9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</row>
    <row r="2" customFormat="false" ht="15" hidden="false" customHeight="false" outlineLevel="0" collapsed="false">
      <c r="A2" s="5" t="s">
        <v>35</v>
      </c>
      <c r="B2" s="5" t="s">
        <v>36</v>
      </c>
      <c r="C2" s="5" t="s">
        <v>37</v>
      </c>
      <c r="D2" s="5" t="s">
        <v>38</v>
      </c>
      <c r="E2" s="6" t="s">
        <v>39</v>
      </c>
      <c r="F2" s="6" t="s">
        <v>40</v>
      </c>
      <c r="G2" s="5" t="n">
        <v>31</v>
      </c>
      <c r="H2" s="5" t="n">
        <v>25</v>
      </c>
      <c r="I2" s="5" t="n">
        <v>820</v>
      </c>
    </row>
    <row r="3" customFormat="false" ht="15" hidden="false" customHeight="false" outlineLevel="0" collapsed="false">
      <c r="A3" s="5" t="s">
        <v>41</v>
      </c>
      <c r="B3" s="5" t="s">
        <v>42</v>
      </c>
      <c r="C3" s="5" t="s">
        <v>43</v>
      </c>
      <c r="D3" s="5"/>
      <c r="E3" s="6" t="s">
        <v>44</v>
      </c>
      <c r="F3" s="6" t="s">
        <v>44</v>
      </c>
      <c r="G3" s="5" t="n">
        <v>39</v>
      </c>
      <c r="H3" s="5" t="n">
        <v>40</v>
      </c>
      <c r="I3" s="5" t="n">
        <v>560</v>
      </c>
    </row>
    <row r="4" customFormat="false" ht="15" hidden="false" customHeight="false" outlineLevel="0" collapsed="false">
      <c r="A4" s="5" t="s">
        <v>45</v>
      </c>
      <c r="B4" s="5" t="s">
        <v>36</v>
      </c>
      <c r="C4" s="5" t="s">
        <v>43</v>
      </c>
      <c r="D4" s="5"/>
      <c r="E4" s="6" t="s">
        <v>46</v>
      </c>
      <c r="F4" s="6" t="s">
        <v>46</v>
      </c>
      <c r="G4" s="5" t="n">
        <v>34</v>
      </c>
      <c r="H4" s="5" t="n">
        <v>50</v>
      </c>
      <c r="I4" s="5" t="n">
        <v>610</v>
      </c>
    </row>
    <row r="5" customFormat="false" ht="15" hidden="false" customHeight="false" outlineLevel="0" collapsed="false">
      <c r="A5" s="5" t="s">
        <v>47</v>
      </c>
      <c r="B5" s="5" t="s">
        <v>48</v>
      </c>
      <c r="C5" s="5" t="s">
        <v>49</v>
      </c>
      <c r="D5" s="5" t="s">
        <v>50</v>
      </c>
      <c r="E5" s="6" t="s">
        <v>51</v>
      </c>
      <c r="F5" s="6" t="s">
        <v>51</v>
      </c>
      <c r="G5" s="5" t="n">
        <v>56</v>
      </c>
      <c r="H5" s="5" t="n">
        <v>45</v>
      </c>
      <c r="I5" s="5" t="n">
        <v>830</v>
      </c>
    </row>
    <row r="6" customFormat="false" ht="15" hidden="false" customHeight="false" outlineLevel="0" collapsed="false">
      <c r="A6" s="5" t="s">
        <v>52</v>
      </c>
      <c r="B6" s="5" t="s">
        <v>53</v>
      </c>
      <c r="C6" s="5" t="s">
        <v>37</v>
      </c>
      <c r="D6" s="5" t="s">
        <v>54</v>
      </c>
      <c r="E6" s="6" t="s">
        <v>55</v>
      </c>
      <c r="F6" s="6" t="s">
        <v>55</v>
      </c>
      <c r="G6" s="5" t="n">
        <v>51</v>
      </c>
      <c r="H6" s="5" t="n">
        <v>45</v>
      </c>
      <c r="I6" s="5" t="n">
        <v>1120</v>
      </c>
    </row>
    <row r="7" customFormat="false" ht="15" hidden="false" customHeight="false" outlineLevel="0" collapsed="false">
      <c r="A7" s="5" t="s">
        <v>56</v>
      </c>
      <c r="B7" s="5" t="s">
        <v>57</v>
      </c>
      <c r="C7" s="5" t="s">
        <v>58</v>
      </c>
      <c r="D7" s="5"/>
      <c r="E7" s="6" t="s">
        <v>59</v>
      </c>
      <c r="F7" s="6" t="s">
        <v>59</v>
      </c>
      <c r="G7" s="5" t="n">
        <v>47</v>
      </c>
      <c r="H7" s="5" t="n">
        <v>30</v>
      </c>
      <c r="I7" s="5" t="n">
        <v>340</v>
      </c>
    </row>
    <row r="8" customFormat="false" ht="15" hidden="false" customHeight="false" outlineLevel="0" collapsed="false">
      <c r="A8" s="5" t="s">
        <v>60</v>
      </c>
      <c r="B8" s="5" t="s">
        <v>57</v>
      </c>
      <c r="C8" s="5" t="s">
        <v>43</v>
      </c>
      <c r="D8" s="5" t="s">
        <v>61</v>
      </c>
      <c r="E8" s="6" t="s">
        <v>62</v>
      </c>
      <c r="F8" s="6" t="s">
        <v>63</v>
      </c>
      <c r="G8" s="5" t="n">
        <v>38</v>
      </c>
      <c r="H8" s="5" t="n">
        <v>45</v>
      </c>
      <c r="I8" s="5" t="n">
        <v>450</v>
      </c>
    </row>
    <row r="9" customFormat="false" ht="15" hidden="false" customHeight="false" outlineLevel="0" collapsed="false">
      <c r="A9" s="5" t="s">
        <v>64</v>
      </c>
      <c r="B9" s="5" t="s">
        <v>65</v>
      </c>
      <c r="C9" s="5" t="s">
        <v>49</v>
      </c>
      <c r="D9" s="5"/>
      <c r="E9" s="6" t="s">
        <v>66</v>
      </c>
      <c r="F9" s="6" t="s">
        <v>67</v>
      </c>
      <c r="G9" s="5" t="n">
        <v>26</v>
      </c>
      <c r="H9" s="5" t="n">
        <v>40</v>
      </c>
      <c r="I9" s="5" t="n">
        <v>790</v>
      </c>
    </row>
    <row r="10" customFormat="false" ht="15" hidden="false" customHeight="false" outlineLevel="0" collapsed="false">
      <c r="A10" s="5" t="s">
        <v>68</v>
      </c>
      <c r="B10" s="5" t="s">
        <v>48</v>
      </c>
      <c r="C10" s="5" t="s">
        <v>58</v>
      </c>
      <c r="D10" s="5" t="s">
        <v>69</v>
      </c>
      <c r="E10" s="6" t="s">
        <v>70</v>
      </c>
      <c r="F10" s="6" t="s">
        <v>70</v>
      </c>
      <c r="G10" s="5" t="n">
        <v>38</v>
      </c>
      <c r="H10" s="5" t="n">
        <v>25</v>
      </c>
      <c r="I10" s="5" t="n">
        <v>570</v>
      </c>
    </row>
    <row r="11" customFormat="false" ht="15" hidden="false" customHeight="false" outlineLevel="0" collapsed="false">
      <c r="A11" s="5" t="s">
        <v>56</v>
      </c>
      <c r="B11" s="5" t="s">
        <v>57</v>
      </c>
      <c r="C11" s="5" t="s">
        <v>58</v>
      </c>
      <c r="D11" s="5"/>
      <c r="E11" s="6" t="s">
        <v>71</v>
      </c>
      <c r="F11" s="6" t="s">
        <v>71</v>
      </c>
      <c r="G11" s="5" t="n">
        <v>47</v>
      </c>
      <c r="H11" s="5" t="n">
        <v>30</v>
      </c>
      <c r="I11" s="5" t="n">
        <v>340</v>
      </c>
    </row>
    <row r="12" customFormat="false" ht="15" hidden="false" customHeight="false" outlineLevel="0" collapsed="false">
      <c r="A12" s="5" t="s">
        <v>72</v>
      </c>
      <c r="B12" s="5" t="s">
        <v>57</v>
      </c>
      <c r="C12" s="5" t="s">
        <v>43</v>
      </c>
      <c r="D12" s="5"/>
      <c r="E12" s="6" t="s">
        <v>73</v>
      </c>
      <c r="F12" s="6" t="s">
        <v>74</v>
      </c>
      <c r="G12" s="5" t="n">
        <v>49</v>
      </c>
      <c r="H12" s="5" t="n">
        <v>45</v>
      </c>
      <c r="I12" s="5" t="n">
        <v>650</v>
      </c>
    </row>
    <row r="13" customFormat="false" ht="15" hidden="false" customHeight="false" outlineLevel="0" collapsed="false">
      <c r="A13" s="5" t="s">
        <v>75</v>
      </c>
      <c r="B13" s="5" t="s">
        <v>42</v>
      </c>
      <c r="C13" s="5" t="s">
        <v>49</v>
      </c>
      <c r="D13" s="5" t="s">
        <v>50</v>
      </c>
      <c r="E13" s="6" t="s">
        <v>76</v>
      </c>
      <c r="F13" s="6" t="s">
        <v>76</v>
      </c>
      <c r="G13" s="5" t="n">
        <v>37</v>
      </c>
      <c r="H13" s="5" t="n">
        <v>50</v>
      </c>
      <c r="I13" s="5" t="n">
        <v>530</v>
      </c>
    </row>
    <row r="14" customFormat="false" ht="15" hidden="false" customHeight="false" outlineLevel="0" collapsed="false">
      <c r="A14" s="5" t="s">
        <v>77</v>
      </c>
      <c r="B14" s="5" t="s">
        <v>48</v>
      </c>
      <c r="C14" s="5" t="s">
        <v>37</v>
      </c>
      <c r="D14" s="5"/>
      <c r="E14" s="6" t="s">
        <v>78</v>
      </c>
      <c r="F14" s="6" t="s">
        <v>79</v>
      </c>
      <c r="G14" s="5" t="n">
        <v>33</v>
      </c>
      <c r="H14" s="5" t="n">
        <v>0</v>
      </c>
      <c r="I14" s="5" t="n">
        <v>1020</v>
      </c>
    </row>
    <row r="15" customFormat="false" ht="15" hidden="false" customHeight="false" outlineLevel="0" collapsed="false">
      <c r="A15" s="5" t="s">
        <v>80</v>
      </c>
      <c r="B15" s="5" t="s">
        <v>36</v>
      </c>
      <c r="C15" s="5" t="s">
        <v>58</v>
      </c>
      <c r="D15" s="5" t="s">
        <v>50</v>
      </c>
      <c r="E15" s="6" t="s">
        <v>81</v>
      </c>
      <c r="F15" s="6" t="s">
        <v>82</v>
      </c>
      <c r="G15" s="5" t="n">
        <v>52</v>
      </c>
      <c r="H15" s="5" t="n">
        <v>30</v>
      </c>
      <c r="I15" s="5" t="n">
        <v>490</v>
      </c>
    </row>
    <row r="16" customFormat="false" ht="15" hidden="false" customHeight="false" outlineLevel="0" collapsed="false">
      <c r="A16" s="5" t="s">
        <v>83</v>
      </c>
      <c r="B16" s="5" t="s">
        <v>42</v>
      </c>
      <c r="C16" s="5" t="s">
        <v>84</v>
      </c>
      <c r="D16" s="5"/>
      <c r="E16" s="6" t="s">
        <v>85</v>
      </c>
      <c r="F16" s="6" t="s">
        <v>85</v>
      </c>
      <c r="G16" s="5" t="n">
        <v>52</v>
      </c>
      <c r="H16" s="5" t="n">
        <v>30</v>
      </c>
      <c r="I16" s="5" t="n">
        <v>1180</v>
      </c>
    </row>
    <row r="17" customFormat="false" ht="15" hidden="false" customHeight="false" outlineLevel="0" collapsed="false">
      <c r="A17" s="5" t="s">
        <v>86</v>
      </c>
      <c r="B17" s="5" t="s">
        <v>57</v>
      </c>
      <c r="C17" s="5" t="s">
        <v>49</v>
      </c>
      <c r="D17" s="5" t="s">
        <v>69</v>
      </c>
      <c r="E17" s="6" t="s">
        <v>87</v>
      </c>
      <c r="F17" s="6" t="s">
        <v>88</v>
      </c>
      <c r="G17" s="5" t="n">
        <v>46</v>
      </c>
      <c r="H17" s="5" t="n">
        <v>0</v>
      </c>
      <c r="I17" s="5" t="n">
        <v>260</v>
      </c>
    </row>
    <row r="18" customFormat="false" ht="15" hidden="false" customHeight="false" outlineLevel="0" collapsed="false">
      <c r="A18" s="5" t="s">
        <v>89</v>
      </c>
      <c r="B18" s="5" t="s">
        <v>48</v>
      </c>
      <c r="C18" s="5" t="s">
        <v>43</v>
      </c>
      <c r="D18" s="5" t="s">
        <v>61</v>
      </c>
      <c r="E18" s="6" t="s">
        <v>90</v>
      </c>
      <c r="F18" s="6" t="s">
        <v>91</v>
      </c>
      <c r="G18" s="5" t="n">
        <v>52</v>
      </c>
      <c r="H18" s="5" t="n">
        <v>50</v>
      </c>
      <c r="I18" s="5" t="n">
        <v>500</v>
      </c>
    </row>
    <row r="19" customFormat="false" ht="15" hidden="false" customHeight="false" outlineLevel="0" collapsed="false">
      <c r="A19" s="5" t="s">
        <v>92</v>
      </c>
      <c r="B19" s="5" t="s">
        <v>93</v>
      </c>
      <c r="C19" s="5" t="s">
        <v>37</v>
      </c>
      <c r="D19" s="5" t="s">
        <v>54</v>
      </c>
      <c r="E19" s="6" t="s">
        <v>94</v>
      </c>
      <c r="F19" s="6" t="s">
        <v>95</v>
      </c>
      <c r="G19" s="5" t="n">
        <v>18</v>
      </c>
      <c r="H19" s="5" t="n">
        <v>40</v>
      </c>
      <c r="I19" s="5" t="n">
        <v>1170</v>
      </c>
    </row>
    <row r="20" customFormat="false" ht="15" hidden="false" customHeight="false" outlineLevel="0" collapsed="false">
      <c r="A20" s="5" t="s">
        <v>96</v>
      </c>
      <c r="B20" s="5" t="s">
        <v>42</v>
      </c>
      <c r="C20" s="5" t="s">
        <v>37</v>
      </c>
      <c r="D20" s="5" t="s">
        <v>69</v>
      </c>
      <c r="E20" s="6" t="s">
        <v>97</v>
      </c>
      <c r="F20" s="6" t="s">
        <v>97</v>
      </c>
      <c r="G20" s="5" t="n">
        <v>57</v>
      </c>
      <c r="H20" s="5" t="n">
        <v>25</v>
      </c>
      <c r="I20" s="5" t="n">
        <v>1140</v>
      </c>
    </row>
    <row r="21" customFormat="false" ht="15" hidden="false" customHeight="false" outlineLevel="0" collapsed="false">
      <c r="A21" s="5" t="s">
        <v>98</v>
      </c>
      <c r="B21" s="5" t="s">
        <v>42</v>
      </c>
      <c r="C21" s="5" t="s">
        <v>58</v>
      </c>
      <c r="D21" s="5" t="s">
        <v>61</v>
      </c>
      <c r="E21" s="6" t="s">
        <v>99</v>
      </c>
      <c r="F21" s="6" t="s">
        <v>100</v>
      </c>
      <c r="G21" s="5" t="n">
        <v>27</v>
      </c>
      <c r="H21" s="5" t="n">
        <v>0</v>
      </c>
      <c r="I21" s="5" t="n">
        <v>1010</v>
      </c>
    </row>
    <row r="22" customFormat="false" ht="15" hidden="false" customHeight="false" outlineLevel="0" collapsed="false">
      <c r="A22" s="5" t="s">
        <v>101</v>
      </c>
      <c r="B22" s="5" t="s">
        <v>42</v>
      </c>
      <c r="C22" s="5" t="s">
        <v>58</v>
      </c>
      <c r="D22" s="5"/>
      <c r="E22" s="6" t="s">
        <v>102</v>
      </c>
      <c r="F22" s="6" t="s">
        <v>103</v>
      </c>
      <c r="G22" s="5" t="n">
        <v>36</v>
      </c>
      <c r="H22" s="5" t="n">
        <v>45</v>
      </c>
      <c r="I22" s="5" t="n">
        <v>590</v>
      </c>
    </row>
    <row r="23" customFormat="false" ht="15" hidden="false" customHeight="false" outlineLevel="0" collapsed="false">
      <c r="A23" s="5" t="s">
        <v>104</v>
      </c>
      <c r="B23" s="5" t="s">
        <v>53</v>
      </c>
      <c r="C23" s="5" t="s">
        <v>105</v>
      </c>
      <c r="D23" s="5" t="s">
        <v>106</v>
      </c>
      <c r="E23" s="6" t="s">
        <v>40</v>
      </c>
      <c r="F23" s="6" t="s">
        <v>40</v>
      </c>
      <c r="G23" s="5" t="n">
        <v>47</v>
      </c>
      <c r="H23" s="5" t="n">
        <v>25</v>
      </c>
      <c r="I23" s="5" t="n">
        <v>440</v>
      </c>
    </row>
    <row r="24" customFormat="false" ht="15" hidden="false" customHeight="false" outlineLevel="0" collapsed="false">
      <c r="A24" s="5" t="s">
        <v>107</v>
      </c>
      <c r="B24" s="5" t="s">
        <v>36</v>
      </c>
      <c r="C24" s="5" t="s">
        <v>37</v>
      </c>
      <c r="D24" s="5"/>
      <c r="E24" s="6" t="s">
        <v>108</v>
      </c>
      <c r="F24" s="6" t="s">
        <v>109</v>
      </c>
      <c r="G24" s="5" t="n">
        <v>18</v>
      </c>
      <c r="H24" s="5" t="n">
        <v>50</v>
      </c>
      <c r="I24" s="5" t="n">
        <v>740</v>
      </c>
    </row>
    <row r="25" customFormat="false" ht="15" hidden="false" customHeight="false" outlineLevel="0" collapsed="false">
      <c r="A25" s="5" t="s">
        <v>110</v>
      </c>
      <c r="B25" s="5" t="s">
        <v>53</v>
      </c>
      <c r="C25" s="5" t="s">
        <v>37</v>
      </c>
      <c r="D25" s="5" t="s">
        <v>106</v>
      </c>
      <c r="E25" s="6" t="s">
        <v>111</v>
      </c>
      <c r="F25" s="6" t="s">
        <v>70</v>
      </c>
      <c r="G25" s="5" t="n">
        <v>37</v>
      </c>
      <c r="H25" s="5" t="n">
        <v>40</v>
      </c>
      <c r="I25" s="5" t="n">
        <v>1390</v>
      </c>
    </row>
    <row r="26" customFormat="false" ht="15" hidden="false" customHeight="false" outlineLevel="0" collapsed="false">
      <c r="A26" s="5" t="s">
        <v>112</v>
      </c>
      <c r="B26" s="5" t="s">
        <v>93</v>
      </c>
      <c r="C26" s="5" t="s">
        <v>43</v>
      </c>
      <c r="D26" s="5"/>
      <c r="E26" s="6" t="s">
        <v>113</v>
      </c>
      <c r="F26" s="6" t="s">
        <v>114</v>
      </c>
      <c r="G26" s="5" t="n">
        <v>26</v>
      </c>
      <c r="H26" s="5" t="n">
        <v>45</v>
      </c>
      <c r="I26" s="5" t="n">
        <v>1220</v>
      </c>
    </row>
    <row r="27" customFormat="false" ht="15" hidden="false" customHeight="false" outlineLevel="0" collapsed="false">
      <c r="A27" s="5" t="s">
        <v>115</v>
      </c>
      <c r="B27" s="5" t="s">
        <v>116</v>
      </c>
      <c r="C27" s="5" t="s">
        <v>43</v>
      </c>
      <c r="D27" s="5" t="s">
        <v>61</v>
      </c>
      <c r="E27" s="6" t="s">
        <v>39</v>
      </c>
      <c r="F27" s="6" t="s">
        <v>40</v>
      </c>
      <c r="G27" s="5" t="n">
        <v>54</v>
      </c>
      <c r="H27" s="5" t="n">
        <v>45</v>
      </c>
      <c r="I27" s="5" t="n">
        <v>810</v>
      </c>
    </row>
    <row r="28" customFormat="false" ht="15" hidden="false" customHeight="false" outlineLevel="0" collapsed="false">
      <c r="A28" s="5" t="s">
        <v>117</v>
      </c>
      <c r="B28" s="5" t="s">
        <v>48</v>
      </c>
      <c r="C28" s="5" t="s">
        <v>43</v>
      </c>
      <c r="D28" s="5" t="s">
        <v>69</v>
      </c>
      <c r="E28" s="6" t="s">
        <v>118</v>
      </c>
      <c r="F28" s="6" t="s">
        <v>118</v>
      </c>
      <c r="G28" s="5" t="n">
        <v>54</v>
      </c>
      <c r="H28" s="5" t="n">
        <v>45</v>
      </c>
      <c r="I28" s="5" t="n">
        <v>950</v>
      </c>
    </row>
    <row r="29" customFormat="false" ht="15" hidden="false" customHeight="false" outlineLevel="0" collapsed="false">
      <c r="A29" s="5" t="s">
        <v>119</v>
      </c>
      <c r="B29" s="5" t="s">
        <v>53</v>
      </c>
      <c r="C29" s="5" t="s">
        <v>37</v>
      </c>
      <c r="D29" s="5" t="s">
        <v>61</v>
      </c>
      <c r="E29" s="6" t="s">
        <v>120</v>
      </c>
      <c r="F29" s="6" t="s">
        <v>120</v>
      </c>
      <c r="G29" s="5" t="n">
        <v>33</v>
      </c>
      <c r="H29" s="5" t="n">
        <v>30</v>
      </c>
      <c r="I29" s="5" t="n">
        <v>1360</v>
      </c>
    </row>
    <row r="30" customFormat="false" ht="15" hidden="false" customHeight="false" outlineLevel="0" collapsed="false">
      <c r="A30" s="5" t="s">
        <v>121</v>
      </c>
      <c r="B30" s="5" t="s">
        <v>116</v>
      </c>
      <c r="C30" s="5" t="s">
        <v>84</v>
      </c>
      <c r="D30" s="5" t="s">
        <v>50</v>
      </c>
      <c r="E30" s="6" t="s">
        <v>122</v>
      </c>
      <c r="F30" s="6" t="s">
        <v>122</v>
      </c>
      <c r="G30" s="5" t="n">
        <v>33</v>
      </c>
      <c r="H30" s="5" t="n">
        <v>40</v>
      </c>
      <c r="I30" s="5" t="n">
        <v>850</v>
      </c>
    </row>
    <row r="31" customFormat="false" ht="15" hidden="false" customHeight="false" outlineLevel="0" collapsed="false">
      <c r="A31" s="5" t="s">
        <v>123</v>
      </c>
      <c r="B31" s="5" t="s">
        <v>116</v>
      </c>
      <c r="C31" s="5" t="s">
        <v>43</v>
      </c>
      <c r="D31" s="5" t="s">
        <v>54</v>
      </c>
      <c r="E31" s="6" t="s">
        <v>124</v>
      </c>
      <c r="F31" s="6" t="s">
        <v>124</v>
      </c>
      <c r="G31" s="5" t="n">
        <v>55</v>
      </c>
      <c r="H31" s="5" t="n">
        <v>0</v>
      </c>
      <c r="I31" s="5" t="n">
        <v>810</v>
      </c>
    </row>
    <row r="32" customFormat="false" ht="15" hidden="false" customHeight="false" outlineLevel="0" collapsed="false">
      <c r="A32" s="5" t="s">
        <v>125</v>
      </c>
      <c r="B32" s="5" t="s">
        <v>116</v>
      </c>
      <c r="C32" s="5" t="s">
        <v>105</v>
      </c>
      <c r="D32" s="5"/>
      <c r="E32" s="6" t="s">
        <v>100</v>
      </c>
      <c r="F32" s="6" t="s">
        <v>39</v>
      </c>
      <c r="G32" s="5" t="n">
        <v>31</v>
      </c>
      <c r="H32" s="5" t="n">
        <v>45</v>
      </c>
      <c r="I32" s="5" t="n">
        <v>740</v>
      </c>
    </row>
    <row r="33" customFormat="false" ht="15" hidden="false" customHeight="false" outlineLevel="0" collapsed="false">
      <c r="A33" s="5" t="s">
        <v>126</v>
      </c>
      <c r="B33" s="5" t="s">
        <v>53</v>
      </c>
      <c r="C33" s="5" t="s">
        <v>105</v>
      </c>
      <c r="D33" s="5" t="s">
        <v>69</v>
      </c>
      <c r="E33" s="6" t="s">
        <v>127</v>
      </c>
      <c r="F33" s="6" t="s">
        <v>128</v>
      </c>
      <c r="G33" s="5" t="n">
        <v>46</v>
      </c>
      <c r="H33" s="5" t="n">
        <v>25</v>
      </c>
      <c r="I33" s="5" t="n">
        <v>1110</v>
      </c>
    </row>
    <row r="34" customFormat="false" ht="15" hidden="false" customHeight="false" outlineLevel="0" collapsed="false">
      <c r="A34" s="5" t="s">
        <v>129</v>
      </c>
      <c r="B34" s="5" t="s">
        <v>36</v>
      </c>
      <c r="C34" s="5" t="s">
        <v>84</v>
      </c>
      <c r="D34" s="5" t="s">
        <v>106</v>
      </c>
      <c r="E34" s="6" t="s">
        <v>130</v>
      </c>
      <c r="F34" s="6" t="s">
        <v>131</v>
      </c>
      <c r="G34" s="5" t="n">
        <v>37</v>
      </c>
      <c r="H34" s="5" t="n">
        <v>30</v>
      </c>
      <c r="I34" s="5" t="n">
        <v>990</v>
      </c>
    </row>
    <row r="35" customFormat="false" ht="15" hidden="false" customHeight="false" outlineLevel="0" collapsed="false">
      <c r="A35" s="5" t="s">
        <v>132</v>
      </c>
      <c r="B35" s="5" t="s">
        <v>116</v>
      </c>
      <c r="C35" s="5" t="s">
        <v>105</v>
      </c>
      <c r="D35" s="5" t="s">
        <v>38</v>
      </c>
      <c r="E35" s="6" t="s">
        <v>133</v>
      </c>
      <c r="F35" s="6" t="s">
        <v>133</v>
      </c>
      <c r="G35" s="5" t="n">
        <v>29</v>
      </c>
      <c r="H35" s="5" t="n">
        <v>40</v>
      </c>
      <c r="I35" s="5" t="n">
        <v>740</v>
      </c>
    </row>
    <row r="36" customFormat="false" ht="15" hidden="false" customHeight="false" outlineLevel="0" collapsed="false">
      <c r="A36" s="5" t="s">
        <v>134</v>
      </c>
      <c r="B36" s="5" t="s">
        <v>65</v>
      </c>
      <c r="C36" s="5" t="s">
        <v>58</v>
      </c>
      <c r="D36" s="5"/>
      <c r="E36" s="6" t="s">
        <v>135</v>
      </c>
      <c r="F36" s="6" t="s">
        <v>136</v>
      </c>
      <c r="G36" s="5" t="n">
        <v>33</v>
      </c>
      <c r="H36" s="5" t="n">
        <v>40</v>
      </c>
      <c r="I36" s="5" t="n">
        <v>1130</v>
      </c>
    </row>
    <row r="37" customFormat="false" ht="15" hidden="false" customHeight="false" outlineLevel="0" collapsed="false">
      <c r="A37" s="5" t="s">
        <v>137</v>
      </c>
      <c r="B37" s="5" t="s">
        <v>57</v>
      </c>
      <c r="C37" s="5" t="s">
        <v>58</v>
      </c>
      <c r="D37" s="5" t="s">
        <v>69</v>
      </c>
      <c r="E37" s="6" t="s">
        <v>138</v>
      </c>
      <c r="F37" s="6" t="s">
        <v>139</v>
      </c>
      <c r="G37" s="5" t="n">
        <v>32</v>
      </c>
      <c r="H37" s="5" t="n">
        <v>50</v>
      </c>
      <c r="I37" s="5" t="n">
        <v>550</v>
      </c>
    </row>
    <row r="38" customFormat="false" ht="15" hidden="false" customHeight="false" outlineLevel="0" collapsed="false">
      <c r="A38" s="5" t="s">
        <v>140</v>
      </c>
      <c r="B38" s="5" t="s">
        <v>57</v>
      </c>
      <c r="C38" s="5" t="s">
        <v>37</v>
      </c>
      <c r="D38" s="5"/>
      <c r="E38" s="6" t="s">
        <v>141</v>
      </c>
      <c r="F38" s="6" t="s">
        <v>141</v>
      </c>
      <c r="G38" s="5" t="n">
        <v>24</v>
      </c>
      <c r="H38" s="5" t="n">
        <v>40</v>
      </c>
      <c r="I38" s="5" t="n">
        <v>1260</v>
      </c>
    </row>
    <row r="39" customFormat="false" ht="15" hidden="false" customHeight="false" outlineLevel="0" collapsed="false">
      <c r="A39" s="5" t="s">
        <v>142</v>
      </c>
      <c r="B39" s="5" t="s">
        <v>57</v>
      </c>
      <c r="C39" s="5" t="s">
        <v>105</v>
      </c>
      <c r="D39" s="5" t="s">
        <v>69</v>
      </c>
      <c r="E39" s="6" t="s">
        <v>143</v>
      </c>
      <c r="F39" s="6" t="s">
        <v>143</v>
      </c>
      <c r="G39" s="5" t="n">
        <v>49</v>
      </c>
      <c r="H39" s="5" t="n">
        <v>30</v>
      </c>
      <c r="I39" s="5" t="n">
        <v>1370</v>
      </c>
    </row>
    <row r="40" customFormat="false" ht="15" hidden="false" customHeight="false" outlineLevel="0" collapsed="false">
      <c r="A40" s="5" t="s">
        <v>144</v>
      </c>
      <c r="B40" s="5" t="s">
        <v>116</v>
      </c>
      <c r="C40" s="5" t="s">
        <v>37</v>
      </c>
      <c r="D40" s="5" t="s">
        <v>106</v>
      </c>
      <c r="E40" s="6" t="s">
        <v>145</v>
      </c>
      <c r="F40" s="6" t="s">
        <v>145</v>
      </c>
      <c r="G40" s="5" t="n">
        <v>34</v>
      </c>
      <c r="H40" s="5" t="n">
        <v>45</v>
      </c>
      <c r="I40" s="5" t="n">
        <v>1070</v>
      </c>
    </row>
    <row r="41" customFormat="false" ht="15" hidden="false" customHeight="false" outlineLevel="0" collapsed="false">
      <c r="A41" s="5" t="s">
        <v>146</v>
      </c>
      <c r="B41" s="5" t="s">
        <v>57</v>
      </c>
      <c r="C41" s="5" t="s">
        <v>37</v>
      </c>
      <c r="D41" s="5"/>
      <c r="E41" s="6" t="s">
        <v>147</v>
      </c>
      <c r="F41" s="6" t="s">
        <v>147</v>
      </c>
      <c r="G41" s="5" t="n">
        <v>48</v>
      </c>
      <c r="H41" s="5" t="n">
        <v>25</v>
      </c>
      <c r="I41" s="5" t="n">
        <v>400</v>
      </c>
    </row>
    <row r="42" customFormat="false" ht="15" hidden="false" customHeight="false" outlineLevel="0" collapsed="false">
      <c r="A42" s="5" t="s">
        <v>148</v>
      </c>
      <c r="B42" s="5" t="s">
        <v>116</v>
      </c>
      <c r="C42" s="5" t="s">
        <v>49</v>
      </c>
      <c r="D42" s="5" t="s">
        <v>106</v>
      </c>
      <c r="E42" s="6" t="s">
        <v>128</v>
      </c>
      <c r="F42" s="6" t="s">
        <v>149</v>
      </c>
      <c r="G42" s="5" t="n">
        <v>40</v>
      </c>
      <c r="H42" s="5" t="n">
        <v>45</v>
      </c>
      <c r="I42" s="5" t="n">
        <v>1150</v>
      </c>
    </row>
    <row r="43" customFormat="false" ht="15" hidden="false" customHeight="false" outlineLevel="0" collapsed="false">
      <c r="A43" s="5" t="s">
        <v>150</v>
      </c>
      <c r="B43" s="5" t="s">
        <v>65</v>
      </c>
      <c r="C43" s="5" t="s">
        <v>37</v>
      </c>
      <c r="D43" s="5"/>
      <c r="E43" s="6" t="s">
        <v>151</v>
      </c>
      <c r="F43" s="6" t="s">
        <v>151</v>
      </c>
      <c r="G43" s="5" t="n">
        <v>34</v>
      </c>
      <c r="H43" s="5" t="n">
        <v>25</v>
      </c>
      <c r="I43" s="5" t="n">
        <v>160</v>
      </c>
    </row>
    <row r="44" customFormat="false" ht="15" hidden="false" customHeight="false" outlineLevel="0" collapsed="false">
      <c r="A44" s="5" t="s">
        <v>152</v>
      </c>
      <c r="B44" s="5" t="s">
        <v>57</v>
      </c>
      <c r="C44" s="5" t="s">
        <v>37</v>
      </c>
      <c r="D44" s="5" t="s">
        <v>38</v>
      </c>
      <c r="E44" s="6" t="s">
        <v>153</v>
      </c>
      <c r="F44" s="6" t="s">
        <v>153</v>
      </c>
      <c r="G44" s="5" t="n">
        <v>43</v>
      </c>
      <c r="H44" s="5" t="n">
        <v>25</v>
      </c>
      <c r="I44" s="5" t="n">
        <v>400</v>
      </c>
    </row>
    <row r="45" customFormat="false" ht="15" hidden="false" customHeight="false" outlineLevel="0" collapsed="false">
      <c r="A45" s="5" t="s">
        <v>154</v>
      </c>
      <c r="B45" s="5" t="s">
        <v>42</v>
      </c>
      <c r="C45" s="5" t="s">
        <v>49</v>
      </c>
      <c r="D45" s="5" t="s">
        <v>54</v>
      </c>
      <c r="E45" s="6" t="s">
        <v>39</v>
      </c>
      <c r="F45" s="6" t="s">
        <v>39</v>
      </c>
      <c r="G45" s="5" t="n">
        <v>46</v>
      </c>
      <c r="H45" s="5" t="n">
        <v>30</v>
      </c>
      <c r="I45" s="5" t="n">
        <v>1170</v>
      </c>
    </row>
    <row r="46" customFormat="false" ht="15" hidden="false" customHeight="false" outlineLevel="0" collapsed="false">
      <c r="A46" s="5" t="s">
        <v>155</v>
      </c>
      <c r="B46" s="5" t="s">
        <v>93</v>
      </c>
      <c r="C46" s="5" t="s">
        <v>49</v>
      </c>
      <c r="D46" s="5"/>
      <c r="E46" s="6" t="s">
        <v>156</v>
      </c>
      <c r="F46" s="6" t="s">
        <v>157</v>
      </c>
      <c r="G46" s="5" t="n">
        <v>40</v>
      </c>
      <c r="H46" s="5" t="n">
        <v>0</v>
      </c>
      <c r="I46" s="5" t="n">
        <v>740</v>
      </c>
    </row>
    <row r="47" customFormat="false" ht="15" hidden="false" customHeight="false" outlineLevel="0" collapsed="false">
      <c r="A47" s="5" t="s">
        <v>158</v>
      </c>
      <c r="B47" s="5" t="s">
        <v>57</v>
      </c>
      <c r="C47" s="5" t="s">
        <v>105</v>
      </c>
      <c r="D47" s="5"/>
      <c r="E47" s="6" t="s">
        <v>159</v>
      </c>
      <c r="F47" s="6" t="s">
        <v>62</v>
      </c>
      <c r="G47" s="5" t="n">
        <v>30</v>
      </c>
      <c r="H47" s="5" t="n">
        <v>25</v>
      </c>
      <c r="I47" s="5" t="n">
        <v>1270</v>
      </c>
    </row>
    <row r="48" customFormat="false" ht="15" hidden="false" customHeight="false" outlineLevel="0" collapsed="false">
      <c r="A48" s="5" t="s">
        <v>112</v>
      </c>
      <c r="B48" s="5" t="s">
        <v>93</v>
      </c>
      <c r="C48" s="5" t="s">
        <v>43</v>
      </c>
      <c r="D48" s="5"/>
      <c r="E48" s="6" t="s">
        <v>103</v>
      </c>
      <c r="F48" s="6" t="s">
        <v>160</v>
      </c>
      <c r="G48" s="5" t="n">
        <v>26</v>
      </c>
      <c r="H48" s="5" t="n">
        <v>45</v>
      </c>
      <c r="I48" s="5" t="n">
        <v>1220</v>
      </c>
    </row>
    <row r="49" customFormat="false" ht="15" hidden="false" customHeight="false" outlineLevel="0" collapsed="false">
      <c r="A49" s="5" t="s">
        <v>129</v>
      </c>
      <c r="B49" s="5" t="s">
        <v>36</v>
      </c>
      <c r="C49" s="5" t="s">
        <v>84</v>
      </c>
      <c r="D49" s="5" t="s">
        <v>106</v>
      </c>
      <c r="E49" s="6" t="s">
        <v>130</v>
      </c>
      <c r="F49" s="6" t="s">
        <v>131</v>
      </c>
      <c r="G49" s="5" t="n">
        <v>37</v>
      </c>
      <c r="H49" s="5" t="n">
        <v>30</v>
      </c>
      <c r="I49" s="5" t="n">
        <v>990</v>
      </c>
    </row>
    <row r="50" customFormat="false" ht="15" hidden="false" customHeight="false" outlineLevel="0" collapsed="false">
      <c r="A50" s="5" t="s">
        <v>161</v>
      </c>
      <c r="B50" s="5" t="s">
        <v>65</v>
      </c>
      <c r="C50" s="5" t="s">
        <v>105</v>
      </c>
      <c r="D50" s="5" t="s">
        <v>61</v>
      </c>
      <c r="E50" s="6" t="s">
        <v>162</v>
      </c>
      <c r="F50" s="6" t="s">
        <v>162</v>
      </c>
      <c r="G50" s="5" t="n">
        <v>34</v>
      </c>
      <c r="H50" s="5" t="n">
        <v>45</v>
      </c>
      <c r="I50" s="5" t="n">
        <v>450</v>
      </c>
    </row>
    <row r="51" customFormat="false" ht="15" hidden="false" customHeight="false" outlineLevel="0" collapsed="false">
      <c r="A51" s="5" t="s">
        <v>163</v>
      </c>
      <c r="B51" s="5" t="s">
        <v>48</v>
      </c>
      <c r="C51" s="5" t="s">
        <v>58</v>
      </c>
      <c r="D51" s="5" t="s">
        <v>69</v>
      </c>
      <c r="E51" s="6" t="s">
        <v>164</v>
      </c>
      <c r="F51" s="6" t="s">
        <v>165</v>
      </c>
      <c r="G51" s="5" t="n">
        <v>54</v>
      </c>
      <c r="H51" s="5" t="n">
        <v>0</v>
      </c>
      <c r="I51" s="5" t="n">
        <v>1140</v>
      </c>
    </row>
    <row r="52" customFormat="false" ht="15" hidden="false" customHeight="false" outlineLevel="0" collapsed="false">
      <c r="A52" s="5" t="s">
        <v>166</v>
      </c>
      <c r="B52" s="5" t="s">
        <v>93</v>
      </c>
      <c r="C52" s="5" t="s">
        <v>105</v>
      </c>
      <c r="D52" s="5" t="s">
        <v>38</v>
      </c>
      <c r="E52" s="6" t="s">
        <v>167</v>
      </c>
      <c r="F52" s="6" t="s">
        <v>167</v>
      </c>
      <c r="G52" s="5" t="n">
        <v>32</v>
      </c>
      <c r="H52" s="5" t="n">
        <v>45</v>
      </c>
      <c r="I52" s="5" t="n">
        <v>550</v>
      </c>
    </row>
    <row r="53" customFormat="false" ht="15" hidden="false" customHeight="false" outlineLevel="0" collapsed="false">
      <c r="A53" s="5" t="s">
        <v>168</v>
      </c>
      <c r="B53" s="5" t="s">
        <v>36</v>
      </c>
      <c r="C53" s="5" t="s">
        <v>58</v>
      </c>
      <c r="D53" s="5" t="s">
        <v>69</v>
      </c>
      <c r="E53" s="6" t="s">
        <v>76</v>
      </c>
      <c r="F53" s="6" t="s">
        <v>169</v>
      </c>
      <c r="G53" s="5" t="n">
        <v>22</v>
      </c>
      <c r="H53" s="5" t="n">
        <v>50</v>
      </c>
      <c r="I53" s="5" t="n">
        <v>1060</v>
      </c>
    </row>
    <row r="54" customFormat="false" ht="15" hidden="false" customHeight="false" outlineLevel="0" collapsed="false">
      <c r="A54" s="5" t="s">
        <v>170</v>
      </c>
      <c r="B54" s="5" t="s">
        <v>36</v>
      </c>
      <c r="C54" s="5" t="s">
        <v>49</v>
      </c>
      <c r="D54" s="5" t="s">
        <v>38</v>
      </c>
      <c r="E54" s="6" t="s">
        <v>171</v>
      </c>
      <c r="F54" s="6" t="s">
        <v>172</v>
      </c>
      <c r="G54" s="5" t="n">
        <v>21</v>
      </c>
      <c r="H54" s="5" t="n">
        <v>30</v>
      </c>
      <c r="I54" s="5" t="n">
        <v>1010</v>
      </c>
    </row>
    <row r="55" customFormat="false" ht="15" hidden="false" customHeight="false" outlineLevel="0" collapsed="false">
      <c r="A55" s="5" t="s">
        <v>173</v>
      </c>
      <c r="B55" s="5" t="s">
        <v>36</v>
      </c>
      <c r="C55" s="5" t="s">
        <v>49</v>
      </c>
      <c r="D55" s="5" t="s">
        <v>54</v>
      </c>
      <c r="E55" s="6" t="s">
        <v>143</v>
      </c>
      <c r="F55" s="6" t="s">
        <v>174</v>
      </c>
      <c r="G55" s="5" t="n">
        <v>43</v>
      </c>
      <c r="H55" s="5" t="n">
        <v>0</v>
      </c>
      <c r="I55" s="5" t="n">
        <v>500</v>
      </c>
    </row>
    <row r="56" customFormat="false" ht="15" hidden="false" customHeight="false" outlineLevel="0" collapsed="false">
      <c r="A56" s="5" t="s">
        <v>175</v>
      </c>
      <c r="B56" s="5" t="s">
        <v>65</v>
      </c>
      <c r="C56" s="5" t="s">
        <v>58</v>
      </c>
      <c r="D56" s="5" t="s">
        <v>50</v>
      </c>
      <c r="E56" s="6" t="s">
        <v>176</v>
      </c>
      <c r="F56" s="6" t="s">
        <v>176</v>
      </c>
      <c r="G56" s="5" t="n">
        <v>44</v>
      </c>
      <c r="H56" s="5" t="n">
        <v>45</v>
      </c>
      <c r="I56" s="5" t="n">
        <v>1320</v>
      </c>
    </row>
    <row r="57" customFormat="false" ht="15" hidden="false" customHeight="false" outlineLevel="0" collapsed="false">
      <c r="A57" s="5" t="s">
        <v>177</v>
      </c>
      <c r="B57" s="5" t="s">
        <v>53</v>
      </c>
      <c r="C57" s="5" t="s">
        <v>58</v>
      </c>
      <c r="D57" s="5" t="s">
        <v>61</v>
      </c>
      <c r="E57" s="6" t="s">
        <v>100</v>
      </c>
      <c r="F57" s="6" t="s">
        <v>100</v>
      </c>
      <c r="G57" s="5" t="n">
        <v>46</v>
      </c>
      <c r="H57" s="5" t="n">
        <v>40</v>
      </c>
      <c r="I57" s="5" t="n">
        <v>260</v>
      </c>
    </row>
    <row r="58" customFormat="false" ht="15" hidden="false" customHeight="false" outlineLevel="0" collapsed="false">
      <c r="A58" s="5" t="s">
        <v>178</v>
      </c>
      <c r="B58" s="5" t="s">
        <v>93</v>
      </c>
      <c r="C58" s="5" t="s">
        <v>105</v>
      </c>
      <c r="D58" s="5"/>
      <c r="E58" s="6" t="s">
        <v>179</v>
      </c>
      <c r="F58" s="6" t="s">
        <v>179</v>
      </c>
      <c r="G58" s="5" t="n">
        <v>58</v>
      </c>
      <c r="H58" s="5" t="n">
        <v>0</v>
      </c>
      <c r="I58" s="5" t="n">
        <v>540</v>
      </c>
    </row>
    <row r="59" customFormat="false" ht="15" hidden="false" customHeight="false" outlineLevel="0" collapsed="false">
      <c r="A59" s="5" t="s">
        <v>180</v>
      </c>
      <c r="B59" s="5" t="s">
        <v>42</v>
      </c>
      <c r="C59" s="5" t="s">
        <v>43</v>
      </c>
      <c r="D59" s="5" t="s">
        <v>54</v>
      </c>
      <c r="E59" s="6" t="s">
        <v>181</v>
      </c>
      <c r="F59" s="6" t="s">
        <v>181</v>
      </c>
      <c r="G59" s="5" t="n">
        <v>23</v>
      </c>
      <c r="H59" s="5" t="n">
        <v>45</v>
      </c>
      <c r="I59" s="5" t="n">
        <v>630</v>
      </c>
    </row>
    <row r="60" customFormat="false" ht="15" hidden="false" customHeight="false" outlineLevel="0" collapsed="false">
      <c r="A60" s="5" t="s">
        <v>182</v>
      </c>
      <c r="B60" s="5" t="s">
        <v>93</v>
      </c>
      <c r="C60" s="5" t="s">
        <v>58</v>
      </c>
      <c r="D60" s="5" t="s">
        <v>106</v>
      </c>
      <c r="E60" s="6" t="s">
        <v>133</v>
      </c>
      <c r="F60" s="6" t="s">
        <v>183</v>
      </c>
      <c r="G60" s="5" t="n">
        <v>49</v>
      </c>
      <c r="H60" s="5" t="n">
        <v>0</v>
      </c>
      <c r="I60" s="5" t="n">
        <v>830</v>
      </c>
    </row>
    <row r="61" customFormat="false" ht="15" hidden="false" customHeight="false" outlineLevel="0" collapsed="false">
      <c r="A61" s="5" t="s">
        <v>184</v>
      </c>
      <c r="B61" s="5" t="s">
        <v>42</v>
      </c>
      <c r="C61" s="5" t="s">
        <v>58</v>
      </c>
      <c r="D61" s="5" t="s">
        <v>69</v>
      </c>
      <c r="E61" s="6" t="s">
        <v>185</v>
      </c>
      <c r="F61" s="6" t="s">
        <v>143</v>
      </c>
      <c r="G61" s="5" t="n">
        <v>33</v>
      </c>
      <c r="H61" s="5" t="n">
        <v>25</v>
      </c>
      <c r="I61" s="5" t="n">
        <v>420</v>
      </c>
    </row>
    <row r="62" customFormat="false" ht="15" hidden="false" customHeight="false" outlineLevel="0" collapsed="false">
      <c r="A62" s="5" t="s">
        <v>60</v>
      </c>
      <c r="B62" s="5" t="s">
        <v>57</v>
      </c>
      <c r="C62" s="5" t="s">
        <v>43</v>
      </c>
      <c r="D62" s="5" t="s">
        <v>61</v>
      </c>
      <c r="E62" s="6" t="s">
        <v>186</v>
      </c>
      <c r="F62" s="6" t="s">
        <v>187</v>
      </c>
      <c r="G62" s="5" t="n">
        <v>38</v>
      </c>
      <c r="H62" s="5" t="n">
        <v>45</v>
      </c>
      <c r="I62" s="5" t="n">
        <v>450</v>
      </c>
    </row>
    <row r="63" customFormat="false" ht="15" hidden="false" customHeight="false" outlineLevel="0" collapsed="false">
      <c r="A63" s="5" t="s">
        <v>180</v>
      </c>
      <c r="B63" s="5" t="s">
        <v>42</v>
      </c>
      <c r="C63" s="5" t="s">
        <v>43</v>
      </c>
      <c r="D63" s="5" t="s">
        <v>54</v>
      </c>
      <c r="E63" s="6" t="s">
        <v>181</v>
      </c>
      <c r="F63" s="6" t="s">
        <v>181</v>
      </c>
      <c r="G63" s="5" t="n">
        <v>23</v>
      </c>
      <c r="H63" s="5" t="n">
        <v>45</v>
      </c>
      <c r="I63" s="5" t="n">
        <v>630</v>
      </c>
    </row>
    <row r="64" customFormat="false" ht="15" hidden="false" customHeight="false" outlineLevel="0" collapsed="false">
      <c r="A64" s="5" t="s">
        <v>188</v>
      </c>
      <c r="B64" s="5" t="s">
        <v>57</v>
      </c>
      <c r="C64" s="5" t="s">
        <v>43</v>
      </c>
      <c r="D64" s="5" t="s">
        <v>54</v>
      </c>
      <c r="E64" s="6" t="s">
        <v>62</v>
      </c>
      <c r="F64" s="6" t="s">
        <v>63</v>
      </c>
      <c r="G64" s="5" t="n">
        <v>34</v>
      </c>
      <c r="H64" s="5" t="n">
        <v>45</v>
      </c>
      <c r="I64" s="5" t="n">
        <v>390</v>
      </c>
    </row>
    <row r="65" customFormat="false" ht="15" hidden="false" customHeight="false" outlineLevel="0" collapsed="false">
      <c r="A65" s="5" t="s">
        <v>189</v>
      </c>
      <c r="B65" s="5" t="s">
        <v>65</v>
      </c>
      <c r="C65" s="5" t="s">
        <v>58</v>
      </c>
      <c r="D65" s="5" t="s">
        <v>61</v>
      </c>
      <c r="E65" s="6" t="s">
        <v>162</v>
      </c>
      <c r="F65" s="6" t="s">
        <v>162</v>
      </c>
      <c r="G65" s="5" t="n">
        <v>50</v>
      </c>
      <c r="H65" s="5" t="n">
        <v>25</v>
      </c>
      <c r="I65" s="5" t="n">
        <v>1350</v>
      </c>
    </row>
    <row r="66" customFormat="false" ht="15" hidden="false" customHeight="false" outlineLevel="0" collapsed="false">
      <c r="A66" s="5" t="s">
        <v>190</v>
      </c>
      <c r="B66" s="5" t="s">
        <v>57</v>
      </c>
      <c r="C66" s="5" t="s">
        <v>58</v>
      </c>
      <c r="D66" s="5" t="s">
        <v>54</v>
      </c>
      <c r="E66" s="6" t="s">
        <v>191</v>
      </c>
      <c r="F66" s="6" t="s">
        <v>192</v>
      </c>
      <c r="G66" s="5" t="n">
        <v>21</v>
      </c>
      <c r="H66" s="5" t="n">
        <v>50</v>
      </c>
      <c r="I66" s="5" t="n">
        <v>1280</v>
      </c>
    </row>
    <row r="67" customFormat="false" ht="15" hidden="false" customHeight="false" outlineLevel="0" collapsed="false">
      <c r="A67" s="5" t="s">
        <v>193</v>
      </c>
      <c r="B67" s="5" t="s">
        <v>42</v>
      </c>
      <c r="C67" s="5" t="s">
        <v>105</v>
      </c>
      <c r="D67" s="5" t="s">
        <v>106</v>
      </c>
      <c r="E67" s="6" t="s">
        <v>118</v>
      </c>
      <c r="F67" s="6" t="s">
        <v>194</v>
      </c>
      <c r="G67" s="5" t="n">
        <v>20</v>
      </c>
      <c r="H67" s="5" t="n">
        <v>50</v>
      </c>
      <c r="I67" s="5" t="n">
        <v>650</v>
      </c>
    </row>
    <row r="68" customFormat="false" ht="15" hidden="false" customHeight="false" outlineLevel="0" collapsed="false">
      <c r="A68" s="5" t="s">
        <v>195</v>
      </c>
      <c r="B68" s="5" t="s">
        <v>57</v>
      </c>
      <c r="C68" s="5" t="s">
        <v>105</v>
      </c>
      <c r="D68" s="5" t="s">
        <v>69</v>
      </c>
      <c r="E68" s="6" t="s">
        <v>186</v>
      </c>
      <c r="F68" s="6" t="s">
        <v>186</v>
      </c>
      <c r="G68" s="5" t="n">
        <v>44</v>
      </c>
      <c r="H68" s="5" t="n">
        <v>0</v>
      </c>
      <c r="I68" s="5" t="n">
        <v>280</v>
      </c>
    </row>
    <row r="69" customFormat="false" ht="15" hidden="false" customHeight="false" outlineLevel="0" collapsed="false">
      <c r="A69" s="5" t="s">
        <v>175</v>
      </c>
      <c r="B69" s="5" t="s">
        <v>65</v>
      </c>
      <c r="C69" s="5" t="s">
        <v>58</v>
      </c>
      <c r="D69" s="5" t="s">
        <v>50</v>
      </c>
      <c r="E69" s="6" t="s">
        <v>196</v>
      </c>
      <c r="F69" s="6" t="s">
        <v>196</v>
      </c>
      <c r="G69" s="5" t="n">
        <v>44</v>
      </c>
      <c r="H69" s="5" t="n">
        <v>45</v>
      </c>
      <c r="I69" s="5" t="n">
        <v>1320</v>
      </c>
    </row>
    <row r="70" customFormat="false" ht="15" hidden="false" customHeight="false" outlineLevel="0" collapsed="false">
      <c r="A70" s="5" t="s">
        <v>197</v>
      </c>
      <c r="B70" s="5" t="s">
        <v>53</v>
      </c>
      <c r="C70" s="5" t="s">
        <v>43</v>
      </c>
      <c r="D70" s="5" t="s">
        <v>38</v>
      </c>
      <c r="E70" s="6" t="s">
        <v>198</v>
      </c>
      <c r="F70" s="6" t="s">
        <v>199</v>
      </c>
      <c r="G70" s="5" t="n">
        <v>21</v>
      </c>
      <c r="H70" s="5" t="n">
        <v>25</v>
      </c>
      <c r="I70" s="5" t="n">
        <v>1370</v>
      </c>
    </row>
    <row r="71" customFormat="false" ht="15" hidden="false" customHeight="false" outlineLevel="0" collapsed="false">
      <c r="A71" s="5" t="s">
        <v>200</v>
      </c>
      <c r="B71" s="5" t="s">
        <v>116</v>
      </c>
      <c r="C71" s="5" t="s">
        <v>37</v>
      </c>
      <c r="D71" s="5" t="s">
        <v>54</v>
      </c>
      <c r="E71" s="6" t="s">
        <v>191</v>
      </c>
      <c r="F71" s="6" t="s">
        <v>191</v>
      </c>
      <c r="G71" s="5" t="n">
        <v>34</v>
      </c>
      <c r="H71" s="5" t="n">
        <v>45</v>
      </c>
      <c r="I71" s="5" t="n">
        <v>1170</v>
      </c>
    </row>
    <row r="72" customFormat="false" ht="15" hidden="false" customHeight="false" outlineLevel="0" collapsed="false">
      <c r="A72" s="5" t="s">
        <v>132</v>
      </c>
      <c r="B72" s="5" t="s">
        <v>116</v>
      </c>
      <c r="C72" s="5" t="s">
        <v>105</v>
      </c>
      <c r="D72" s="5" t="s">
        <v>38</v>
      </c>
      <c r="E72" s="6" t="s">
        <v>133</v>
      </c>
      <c r="F72" s="6" t="s">
        <v>133</v>
      </c>
      <c r="G72" s="5" t="n">
        <v>29</v>
      </c>
      <c r="H72" s="5" t="n">
        <v>40</v>
      </c>
      <c r="I72" s="5" t="n">
        <v>740</v>
      </c>
    </row>
    <row r="73" customFormat="false" ht="15" hidden="false" customHeight="false" outlineLevel="0" collapsed="false">
      <c r="A73" s="5" t="s">
        <v>201</v>
      </c>
      <c r="B73" s="5" t="s">
        <v>93</v>
      </c>
      <c r="C73" s="5" t="s">
        <v>84</v>
      </c>
      <c r="D73" s="5"/>
      <c r="E73" s="6" t="s">
        <v>202</v>
      </c>
      <c r="F73" s="6" t="s">
        <v>203</v>
      </c>
      <c r="G73" s="5" t="n">
        <v>24</v>
      </c>
      <c r="H73" s="5" t="n">
        <v>45</v>
      </c>
      <c r="I73" s="5" t="n">
        <v>1000</v>
      </c>
    </row>
    <row r="74" customFormat="false" ht="15" hidden="false" customHeight="false" outlineLevel="0" collapsed="false">
      <c r="A74" s="5" t="s">
        <v>204</v>
      </c>
      <c r="B74" s="5" t="s">
        <v>36</v>
      </c>
      <c r="C74" s="5" t="s">
        <v>105</v>
      </c>
      <c r="D74" s="5" t="s">
        <v>106</v>
      </c>
      <c r="E74" s="6" t="s">
        <v>205</v>
      </c>
      <c r="F74" s="6" t="s">
        <v>206</v>
      </c>
      <c r="G74" s="5" t="n">
        <v>19</v>
      </c>
      <c r="H74" s="5" t="n">
        <v>50</v>
      </c>
      <c r="I74" s="5" t="n">
        <v>840</v>
      </c>
    </row>
    <row r="75" customFormat="false" ht="15" hidden="false" customHeight="false" outlineLevel="0" collapsed="false">
      <c r="A75" s="5" t="s">
        <v>207</v>
      </c>
      <c r="B75" s="5" t="s">
        <v>53</v>
      </c>
      <c r="C75" s="5" t="s">
        <v>37</v>
      </c>
      <c r="D75" s="5" t="s">
        <v>38</v>
      </c>
      <c r="E75" s="6" t="s">
        <v>208</v>
      </c>
      <c r="F75" s="6" t="s">
        <v>51</v>
      </c>
      <c r="G75" s="5" t="n">
        <v>39</v>
      </c>
      <c r="H75" s="5" t="n">
        <v>0</v>
      </c>
      <c r="I75" s="5" t="n">
        <v>1110</v>
      </c>
    </row>
    <row r="76" customFormat="false" ht="15" hidden="false" customHeight="false" outlineLevel="0" collapsed="false">
      <c r="A76" s="5" t="s">
        <v>209</v>
      </c>
      <c r="B76" s="5" t="s">
        <v>116</v>
      </c>
      <c r="C76" s="5" t="s">
        <v>37</v>
      </c>
      <c r="D76" s="5" t="s">
        <v>50</v>
      </c>
      <c r="E76" s="6" t="s">
        <v>210</v>
      </c>
      <c r="F76" s="6" t="s">
        <v>205</v>
      </c>
      <c r="G76" s="5" t="n">
        <v>50</v>
      </c>
      <c r="H76" s="5" t="n">
        <v>45</v>
      </c>
      <c r="I76" s="5" t="n">
        <v>340</v>
      </c>
    </row>
    <row r="77" customFormat="false" ht="15" hidden="false" customHeight="false" outlineLevel="0" collapsed="false">
      <c r="A77" s="5" t="s">
        <v>211</v>
      </c>
      <c r="B77" s="5" t="s">
        <v>116</v>
      </c>
      <c r="C77" s="5" t="s">
        <v>84</v>
      </c>
      <c r="D77" s="5" t="s">
        <v>61</v>
      </c>
      <c r="E77" s="6" t="s">
        <v>212</v>
      </c>
      <c r="F77" s="6" t="s">
        <v>212</v>
      </c>
      <c r="G77" s="5" t="n">
        <v>30</v>
      </c>
      <c r="H77" s="5" t="n">
        <v>25</v>
      </c>
      <c r="I77" s="5" t="n">
        <v>1120</v>
      </c>
    </row>
    <row r="78" customFormat="false" ht="15" hidden="false" customHeight="false" outlineLevel="0" collapsed="false">
      <c r="A78" s="5" t="s">
        <v>140</v>
      </c>
      <c r="B78" s="5" t="s">
        <v>57</v>
      </c>
      <c r="C78" s="5" t="s">
        <v>37</v>
      </c>
      <c r="D78" s="5"/>
      <c r="E78" s="6" t="s">
        <v>213</v>
      </c>
      <c r="F78" s="6" t="s">
        <v>213</v>
      </c>
      <c r="G78" s="5" t="n">
        <v>24</v>
      </c>
      <c r="H78" s="5" t="n">
        <v>40</v>
      </c>
      <c r="I78" s="5" t="n">
        <v>1260</v>
      </c>
    </row>
    <row r="79" customFormat="false" ht="15" hidden="false" customHeight="false" outlineLevel="0" collapsed="false">
      <c r="A79" s="5" t="s">
        <v>214</v>
      </c>
      <c r="B79" s="5" t="s">
        <v>65</v>
      </c>
      <c r="C79" s="5" t="s">
        <v>105</v>
      </c>
      <c r="D79" s="5" t="s">
        <v>50</v>
      </c>
      <c r="E79" s="6" t="s">
        <v>215</v>
      </c>
      <c r="F79" s="6" t="s">
        <v>215</v>
      </c>
      <c r="G79" s="5" t="n">
        <v>19</v>
      </c>
      <c r="H79" s="5" t="n">
        <v>40</v>
      </c>
      <c r="I79" s="5" t="n">
        <v>1160</v>
      </c>
    </row>
    <row r="80" customFormat="false" ht="15" hidden="false" customHeight="false" outlineLevel="0" collapsed="false">
      <c r="A80" s="5" t="s">
        <v>216</v>
      </c>
      <c r="B80" s="5" t="s">
        <v>53</v>
      </c>
      <c r="C80" s="5" t="s">
        <v>43</v>
      </c>
      <c r="D80" s="5" t="s">
        <v>61</v>
      </c>
      <c r="E80" s="6" t="s">
        <v>217</v>
      </c>
      <c r="F80" s="6" t="s">
        <v>217</v>
      </c>
      <c r="G80" s="5" t="n">
        <v>40</v>
      </c>
      <c r="H80" s="5" t="n">
        <v>0</v>
      </c>
      <c r="I80" s="5" t="n">
        <v>1370</v>
      </c>
    </row>
    <row r="81" customFormat="false" ht="15" hidden="false" customHeight="false" outlineLevel="0" collapsed="false">
      <c r="A81" s="5" t="s">
        <v>218</v>
      </c>
      <c r="B81" s="5" t="s">
        <v>42</v>
      </c>
      <c r="C81" s="5" t="s">
        <v>105</v>
      </c>
      <c r="D81" s="5"/>
      <c r="E81" s="6" t="s">
        <v>219</v>
      </c>
      <c r="F81" s="6" t="s">
        <v>122</v>
      </c>
      <c r="G81" s="5" t="n">
        <v>58</v>
      </c>
      <c r="H81" s="5" t="n">
        <v>25</v>
      </c>
      <c r="I81" s="5" t="n">
        <v>430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1" min="11" style="0" width="17"/>
    <col collapsed="false" customWidth="true" hidden="false" outlineLevel="0" max="12" min="12" style="0" width="21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220</v>
      </c>
      <c r="K1" s="3" t="s">
        <v>221</v>
      </c>
      <c r="L1" s="3" t="s">
        <v>222</v>
      </c>
    </row>
    <row r="2" customFormat="false" ht="15" hidden="false" customHeight="false" outlineLevel="0" collapsed="false">
      <c r="A2" s="5" t="s">
        <v>89</v>
      </c>
      <c r="B2" s="5" t="s">
        <v>48</v>
      </c>
      <c r="C2" s="5" t="s">
        <v>43</v>
      </c>
      <c r="D2" s="5" t="s">
        <v>61</v>
      </c>
      <c r="E2" s="7" t="n">
        <v>46270</v>
      </c>
      <c r="F2" s="7" t="n">
        <v>46271</v>
      </c>
      <c r="G2" s="5" t="n">
        <v>52</v>
      </c>
      <c r="H2" s="5" t="n">
        <v>50</v>
      </c>
      <c r="I2" s="5" t="n">
        <v>500</v>
      </c>
      <c r="J2" s="5" t="str">
        <f aca="false">INDEX(Restaurant_Details!$B$2:$B$9,MATCH(B2,Restaurant_Details!$A$2:$A$9,0))</f>
        <v>Honest Restaurant</v>
      </c>
      <c r="K2" s="5" t="str">
        <f aca="false">TEXT(F2,"dddd")</f>
        <v>Sunday</v>
      </c>
      <c r="L2" s="5" t="n">
        <f aca="false">WEEKDAY(F2,2)</f>
        <v>7</v>
      </c>
    </row>
    <row r="3" customFormat="false" ht="15" hidden="false" customHeight="false" outlineLevel="0" collapsed="false">
      <c r="A3" s="5" t="s">
        <v>200</v>
      </c>
      <c r="B3" s="5" t="s">
        <v>116</v>
      </c>
      <c r="C3" s="5" t="s">
        <v>37</v>
      </c>
      <c r="D3" s="5" t="s">
        <v>54</v>
      </c>
      <c r="E3" s="7" t="n">
        <v>46218</v>
      </c>
      <c r="F3" s="7" t="n">
        <v>46218</v>
      </c>
      <c r="G3" s="5" t="n">
        <v>34</v>
      </c>
      <c r="H3" s="5" t="n">
        <v>45</v>
      </c>
      <c r="I3" s="5" t="n">
        <v>1170</v>
      </c>
      <c r="J3" s="5" t="str">
        <f aca="false">INDEX(Restaurant_Details!$B$2:$B$9,MATCH(B3,Restaurant_Details!$A$2:$A$9,0))</f>
        <v>Biryani Blues</v>
      </c>
      <c r="K3" s="5" t="str">
        <f aca="false">TEXT(F3,"dddd")</f>
        <v>Wednesday</v>
      </c>
      <c r="L3" s="5" t="n">
        <f aca="false">WEEKDAY(F3,2)</f>
        <v>3</v>
      </c>
    </row>
    <row r="4" customFormat="false" ht="15" hidden="false" customHeight="false" outlineLevel="0" collapsed="false">
      <c r="A4" s="5" t="s">
        <v>158</v>
      </c>
      <c r="B4" s="5" t="s">
        <v>57</v>
      </c>
      <c r="C4" s="5" t="s">
        <v>105</v>
      </c>
      <c r="D4" s="5" t="s">
        <v>223</v>
      </c>
      <c r="E4" s="7" t="n">
        <v>46244</v>
      </c>
      <c r="F4" s="7" t="n">
        <v>46245</v>
      </c>
      <c r="G4" s="5" t="n">
        <v>30</v>
      </c>
      <c r="H4" s="5" t="n">
        <v>25</v>
      </c>
      <c r="I4" s="5" t="n">
        <v>1270</v>
      </c>
      <c r="J4" s="5" t="str">
        <f aca="false">INDEX(Restaurant_Details!$B$2:$B$9,MATCH(B4,Restaurant_Details!$A$2:$A$9,0))</f>
        <v>Pizza Hut</v>
      </c>
      <c r="K4" s="5" t="str">
        <f aca="false">TEXT(F4,"dddd")</f>
        <v>Tuesday</v>
      </c>
      <c r="L4" s="5" t="n">
        <f aca="false">WEEKDAY(F4,2)</f>
        <v>2</v>
      </c>
    </row>
    <row r="5" customFormat="false" ht="15" hidden="false" customHeight="false" outlineLevel="0" collapsed="false">
      <c r="A5" s="5" t="s">
        <v>178</v>
      </c>
      <c r="B5" s="5" t="s">
        <v>93</v>
      </c>
      <c r="C5" s="5" t="s">
        <v>105</v>
      </c>
      <c r="D5" s="5" t="s">
        <v>223</v>
      </c>
      <c r="E5" s="7" t="n">
        <v>46272</v>
      </c>
      <c r="F5" s="7" t="n">
        <v>46272</v>
      </c>
      <c r="G5" s="5" t="n">
        <v>58</v>
      </c>
      <c r="H5" s="5" t="n">
        <v>0</v>
      </c>
      <c r="I5" s="5" t="n">
        <v>540</v>
      </c>
      <c r="J5" s="5" t="str">
        <f aca="false">INDEX(Restaurant_Details!$B$2:$B$9,MATCH(B5,Restaurant_Details!$A$2:$A$9,0))</f>
        <v>Gwalia Sweets</v>
      </c>
      <c r="K5" s="5" t="str">
        <f aca="false">TEXT(F5,"dddd")</f>
        <v>Monday</v>
      </c>
      <c r="L5" s="5" t="n">
        <f aca="false">WEEKDAY(F5,2)</f>
        <v>1</v>
      </c>
    </row>
    <row r="6" customFormat="false" ht="15" hidden="false" customHeight="false" outlineLevel="0" collapsed="false">
      <c r="A6" s="5" t="s">
        <v>175</v>
      </c>
      <c r="B6" s="5" t="s">
        <v>65</v>
      </c>
      <c r="C6" s="5" t="s">
        <v>58</v>
      </c>
      <c r="D6" s="5" t="s">
        <v>50</v>
      </c>
      <c r="E6" s="7" t="n">
        <v>46256</v>
      </c>
      <c r="F6" s="7" t="n">
        <v>46256</v>
      </c>
      <c r="G6" s="5" t="n">
        <v>44</v>
      </c>
      <c r="H6" s="5" t="n">
        <v>45</v>
      </c>
      <c r="I6" s="5" t="n">
        <v>1320</v>
      </c>
      <c r="J6" s="5" t="str">
        <f aca="false">INDEX(Restaurant_Details!$B$2:$B$9,MATCH(B6,Restaurant_Details!$A$2:$A$9,0))</f>
        <v>KFC</v>
      </c>
      <c r="K6" s="5" t="str">
        <f aca="false">TEXT(F6,"dddd")</f>
        <v>Saturday</v>
      </c>
      <c r="L6" s="5" t="n">
        <f aca="false">WEEKDAY(F6,2)</f>
        <v>6</v>
      </c>
    </row>
    <row r="7" customFormat="false" ht="15" hidden="false" customHeight="false" outlineLevel="0" collapsed="false">
      <c r="A7" s="5" t="s">
        <v>216</v>
      </c>
      <c r="B7" s="5" t="s">
        <v>53</v>
      </c>
      <c r="C7" s="5" t="s">
        <v>43</v>
      </c>
      <c r="D7" s="5" t="s">
        <v>61</v>
      </c>
      <c r="E7" s="7" t="n">
        <v>46247</v>
      </c>
      <c r="F7" s="7" t="n">
        <v>46247</v>
      </c>
      <c r="G7" s="5" t="n">
        <v>40</v>
      </c>
      <c r="H7" s="5" t="n">
        <v>0</v>
      </c>
      <c r="I7" s="5" t="n">
        <v>1370</v>
      </c>
      <c r="J7" s="5" t="str">
        <f aca="false">INDEX(Restaurant_Details!$B$2:$B$9,MATCH(B7,Restaurant_Details!$A$2:$A$9,0))</f>
        <v>Wok Express</v>
      </c>
      <c r="K7" s="5" t="str">
        <f aca="false">TEXT(F7,"dddd")</f>
        <v>Thursday</v>
      </c>
      <c r="L7" s="5" t="n">
        <f aca="false">WEEKDAY(F7,2)</f>
        <v>4</v>
      </c>
    </row>
    <row r="8" customFormat="false" ht="15" hidden="false" customHeight="false" outlineLevel="0" collapsed="false">
      <c r="A8" s="5" t="s">
        <v>35</v>
      </c>
      <c r="B8" s="5" t="s">
        <v>36</v>
      </c>
      <c r="C8" s="5" t="s">
        <v>37</v>
      </c>
      <c r="D8" s="5" t="s">
        <v>38</v>
      </c>
      <c r="E8" s="7" t="n">
        <v>46265</v>
      </c>
      <c r="F8" s="7" t="n">
        <v>46266</v>
      </c>
      <c r="G8" s="5" t="n">
        <v>31</v>
      </c>
      <c r="H8" s="5" t="n">
        <v>25</v>
      </c>
      <c r="I8" s="5" t="n">
        <v>820</v>
      </c>
      <c r="J8" s="5" t="str">
        <f aca="false">INDEX(Restaurant_Details!$B$2:$B$9,MATCH(B8,Restaurant_Details!$A$2:$A$9,0))</f>
        <v>Burger King</v>
      </c>
      <c r="K8" s="5" t="str">
        <f aca="false">TEXT(F8,"dddd")</f>
        <v>Tuesday</v>
      </c>
      <c r="L8" s="5" t="n">
        <f aca="false">WEEKDAY(F8,2)</f>
        <v>2</v>
      </c>
    </row>
    <row r="9" customFormat="false" ht="15" hidden="false" customHeight="false" outlineLevel="0" collapsed="false">
      <c r="A9" s="5" t="s">
        <v>47</v>
      </c>
      <c r="B9" s="5" t="s">
        <v>48</v>
      </c>
      <c r="C9" s="5" t="s">
        <v>49</v>
      </c>
      <c r="D9" s="5" t="s">
        <v>50</v>
      </c>
      <c r="E9" s="7" t="n">
        <v>46250</v>
      </c>
      <c r="F9" s="7" t="n">
        <v>46250</v>
      </c>
      <c r="G9" s="5" t="n">
        <v>56</v>
      </c>
      <c r="H9" s="5" t="n">
        <v>45</v>
      </c>
      <c r="I9" s="5" t="n">
        <v>830</v>
      </c>
      <c r="J9" s="5" t="str">
        <f aca="false">INDEX(Restaurant_Details!$B$2:$B$9,MATCH(B9,Restaurant_Details!$A$2:$A$9,0))</f>
        <v>Honest Restaurant</v>
      </c>
      <c r="K9" s="5" t="str">
        <f aca="false">TEXT(F9,"dddd")</f>
        <v>Sunday</v>
      </c>
      <c r="L9" s="5" t="n">
        <f aca="false">WEEKDAY(F9,2)</f>
        <v>7</v>
      </c>
    </row>
    <row r="10" customFormat="false" ht="15" hidden="false" customHeight="false" outlineLevel="0" collapsed="false">
      <c r="A10" s="5" t="s">
        <v>68</v>
      </c>
      <c r="B10" s="5" t="s">
        <v>48</v>
      </c>
      <c r="C10" s="5" t="s">
        <v>58</v>
      </c>
      <c r="D10" s="5" t="s">
        <v>69</v>
      </c>
      <c r="E10" s="7" t="n">
        <v>46274</v>
      </c>
      <c r="F10" s="7" t="n">
        <v>46274</v>
      </c>
      <c r="G10" s="5" t="n">
        <v>38</v>
      </c>
      <c r="H10" s="5" t="n">
        <v>25</v>
      </c>
      <c r="I10" s="5" t="n">
        <v>570</v>
      </c>
      <c r="J10" s="5" t="str">
        <f aca="false">INDEX(Restaurant_Details!$B$2:$B$9,MATCH(B10,Restaurant_Details!$A$2:$A$9,0))</f>
        <v>Honest Restaurant</v>
      </c>
      <c r="K10" s="5" t="str">
        <f aca="false">TEXT(F10,"dddd")</f>
        <v>Wednesday</v>
      </c>
      <c r="L10" s="5" t="n">
        <f aca="false">WEEKDAY(F10,2)</f>
        <v>3</v>
      </c>
    </row>
    <row r="11" customFormat="false" ht="15" hidden="false" customHeight="false" outlineLevel="0" collapsed="false">
      <c r="A11" s="5" t="s">
        <v>155</v>
      </c>
      <c r="B11" s="5" t="s">
        <v>93</v>
      </c>
      <c r="C11" s="5" t="s">
        <v>49</v>
      </c>
      <c r="D11" s="5" t="s">
        <v>223</v>
      </c>
      <c r="E11" s="7" t="n">
        <v>46216</v>
      </c>
      <c r="F11" s="7" t="n">
        <v>46217</v>
      </c>
      <c r="G11" s="5" t="n">
        <v>40</v>
      </c>
      <c r="H11" s="5" t="n">
        <v>0</v>
      </c>
      <c r="I11" s="5" t="n">
        <v>740</v>
      </c>
      <c r="J11" s="5" t="str">
        <f aca="false">INDEX(Restaurant_Details!$B$2:$B$9,MATCH(B11,Restaurant_Details!$A$2:$A$9,0))</f>
        <v>Gwalia Sweets</v>
      </c>
      <c r="K11" s="5" t="str">
        <f aca="false">TEXT(F11,"dddd")</f>
        <v>Tuesday</v>
      </c>
      <c r="L11" s="5" t="n">
        <f aca="false">WEEKDAY(F11,2)</f>
        <v>2</v>
      </c>
    </row>
    <row r="12" customFormat="false" ht="15" hidden="false" customHeight="false" outlineLevel="0" collapsed="false">
      <c r="A12" s="5" t="s">
        <v>168</v>
      </c>
      <c r="B12" s="5" t="s">
        <v>36</v>
      </c>
      <c r="C12" s="5" t="s">
        <v>58</v>
      </c>
      <c r="D12" s="5" t="s">
        <v>69</v>
      </c>
      <c r="E12" s="7" t="n">
        <v>46238</v>
      </c>
      <c r="F12" s="7" t="n">
        <v>46239</v>
      </c>
      <c r="G12" s="5" t="n">
        <v>22</v>
      </c>
      <c r="H12" s="5" t="n">
        <v>50</v>
      </c>
      <c r="I12" s="5" t="n">
        <v>1060</v>
      </c>
      <c r="J12" s="5" t="str">
        <f aca="false">INDEX(Restaurant_Details!$B$2:$B$9,MATCH(B12,Restaurant_Details!$A$2:$A$9,0))</f>
        <v>Burger King</v>
      </c>
      <c r="K12" s="5" t="str">
        <f aca="false">TEXT(F12,"dddd")</f>
        <v>Wednesday</v>
      </c>
      <c r="L12" s="5" t="n">
        <f aca="false">WEEKDAY(F12,2)</f>
        <v>3</v>
      </c>
    </row>
    <row r="13" customFormat="false" ht="15" hidden="false" customHeight="false" outlineLevel="0" collapsed="false">
      <c r="A13" s="5" t="s">
        <v>152</v>
      </c>
      <c r="B13" s="5" t="s">
        <v>57</v>
      </c>
      <c r="C13" s="5" t="s">
        <v>37</v>
      </c>
      <c r="D13" s="5" t="s">
        <v>38</v>
      </c>
      <c r="E13" s="7" t="n">
        <v>46266</v>
      </c>
      <c r="F13" s="7" t="n">
        <v>46266</v>
      </c>
      <c r="G13" s="5" t="n">
        <v>43</v>
      </c>
      <c r="H13" s="5" t="n">
        <v>25</v>
      </c>
      <c r="I13" s="5" t="n">
        <v>400</v>
      </c>
      <c r="J13" s="5" t="str">
        <f aca="false">INDEX(Restaurant_Details!$B$2:$B$9,MATCH(B13,Restaurant_Details!$A$2:$A$9,0))</f>
        <v>Pizza Hut</v>
      </c>
      <c r="K13" s="5" t="str">
        <f aca="false">TEXT(F13,"dddd")</f>
        <v>Tuesday</v>
      </c>
      <c r="L13" s="5" t="n">
        <f aca="false">WEEKDAY(F13,2)</f>
        <v>2</v>
      </c>
    </row>
    <row r="14" customFormat="false" ht="15" hidden="false" customHeight="false" outlineLevel="0" collapsed="false">
      <c r="A14" s="5" t="s">
        <v>83</v>
      </c>
      <c r="B14" s="5" t="s">
        <v>42</v>
      </c>
      <c r="C14" s="5" t="s">
        <v>84</v>
      </c>
      <c r="D14" s="5" t="s">
        <v>223</v>
      </c>
      <c r="E14" s="7" t="n">
        <v>46236</v>
      </c>
      <c r="F14" s="7" t="n">
        <v>46236</v>
      </c>
      <c r="G14" s="5" t="n">
        <v>52</v>
      </c>
      <c r="H14" s="5" t="n">
        <v>30</v>
      </c>
      <c r="I14" s="5" t="n">
        <v>1180</v>
      </c>
      <c r="J14" s="5" t="str">
        <f aca="false">INDEX(Restaurant_Details!$B$2:$B$9,MATCH(B14,Restaurant_Details!$A$2:$A$9,0))</f>
        <v>Domino's</v>
      </c>
      <c r="K14" s="5" t="str">
        <f aca="false">TEXT(F14,"dddd")</f>
        <v>Sunday</v>
      </c>
      <c r="L14" s="5" t="n">
        <f aca="false">WEEKDAY(F14,2)</f>
        <v>7</v>
      </c>
    </row>
    <row r="15" customFormat="false" ht="15" hidden="false" customHeight="false" outlineLevel="0" collapsed="false">
      <c r="A15" s="5" t="s">
        <v>129</v>
      </c>
      <c r="B15" s="5" t="s">
        <v>36</v>
      </c>
      <c r="C15" s="5" t="s">
        <v>84</v>
      </c>
      <c r="D15" s="5" t="s">
        <v>106</v>
      </c>
      <c r="E15" s="7" t="n">
        <v>46244</v>
      </c>
      <c r="F15" s="7" t="n">
        <v>46245</v>
      </c>
      <c r="G15" s="5" t="n">
        <v>37</v>
      </c>
      <c r="H15" s="5" t="n">
        <v>30</v>
      </c>
      <c r="I15" s="5" t="n">
        <v>990</v>
      </c>
      <c r="J15" s="5" t="str">
        <f aca="false">INDEX(Restaurant_Details!$B$2:$B$9,MATCH(B15,Restaurant_Details!$A$2:$A$9,0))</f>
        <v>Burger King</v>
      </c>
      <c r="K15" s="5" t="str">
        <f aca="false">TEXT(F15,"dddd")</f>
        <v>Tuesday</v>
      </c>
      <c r="L15" s="5" t="n">
        <f aca="false">WEEKDAY(F15,2)</f>
        <v>2</v>
      </c>
    </row>
    <row r="16" customFormat="false" ht="15" hidden="false" customHeight="false" outlineLevel="0" collapsed="false">
      <c r="A16" s="5" t="s">
        <v>218</v>
      </c>
      <c r="B16" s="5" t="s">
        <v>42</v>
      </c>
      <c r="C16" s="5" t="s">
        <v>105</v>
      </c>
      <c r="D16" s="5" t="s">
        <v>223</v>
      </c>
      <c r="E16" s="7" t="n">
        <v>46255</v>
      </c>
      <c r="F16" s="7" t="n">
        <v>46256</v>
      </c>
      <c r="G16" s="5" t="n">
        <v>58</v>
      </c>
      <c r="H16" s="5" t="n">
        <v>25</v>
      </c>
      <c r="I16" s="5" t="n">
        <v>430</v>
      </c>
      <c r="J16" s="5" t="str">
        <f aca="false">INDEX(Restaurant_Details!$B$2:$B$9,MATCH(B16,Restaurant_Details!$A$2:$A$9,0))</f>
        <v>Domino's</v>
      </c>
      <c r="K16" s="5" t="str">
        <f aca="false">TEXT(F16,"dddd")</f>
        <v>Saturday</v>
      </c>
      <c r="L16" s="5" t="n">
        <f aca="false">WEEKDAY(F16,2)</f>
        <v>6</v>
      </c>
    </row>
    <row r="17" customFormat="false" ht="15" hidden="false" customHeight="false" outlineLevel="0" collapsed="false">
      <c r="A17" s="5" t="s">
        <v>72</v>
      </c>
      <c r="B17" s="5" t="s">
        <v>57</v>
      </c>
      <c r="C17" s="5" t="s">
        <v>43</v>
      </c>
      <c r="D17" s="5" t="s">
        <v>223</v>
      </c>
      <c r="E17" s="7" t="n">
        <v>46272</v>
      </c>
      <c r="F17" s="7" t="n">
        <v>46273</v>
      </c>
      <c r="G17" s="5" t="n">
        <v>49</v>
      </c>
      <c r="H17" s="5" t="n">
        <v>45</v>
      </c>
      <c r="I17" s="5" t="n">
        <v>650</v>
      </c>
      <c r="J17" s="5" t="str">
        <f aca="false">INDEX(Restaurant_Details!$B$2:$B$9,MATCH(B17,Restaurant_Details!$A$2:$A$9,0))</f>
        <v>Pizza Hut</v>
      </c>
      <c r="K17" s="5" t="str">
        <f aca="false">TEXT(F17,"dddd")</f>
        <v>Tuesday</v>
      </c>
      <c r="L17" s="5" t="n">
        <f aca="false">WEEKDAY(F17,2)</f>
        <v>2</v>
      </c>
    </row>
    <row r="18" customFormat="false" ht="15" hidden="false" customHeight="false" outlineLevel="0" collapsed="false">
      <c r="A18" s="5" t="s">
        <v>104</v>
      </c>
      <c r="B18" s="5" t="s">
        <v>53</v>
      </c>
      <c r="C18" s="5" t="s">
        <v>105</v>
      </c>
      <c r="D18" s="5" t="s">
        <v>106</v>
      </c>
      <c r="E18" s="7" t="n">
        <v>46266</v>
      </c>
      <c r="F18" s="7" t="n">
        <v>46266</v>
      </c>
      <c r="G18" s="5" t="n">
        <v>47</v>
      </c>
      <c r="H18" s="5" t="n">
        <v>25</v>
      </c>
      <c r="I18" s="5" t="n">
        <v>440</v>
      </c>
      <c r="J18" s="5" t="str">
        <f aca="false">INDEX(Restaurant_Details!$B$2:$B$9,MATCH(B18,Restaurant_Details!$A$2:$A$9,0))</f>
        <v>Wok Express</v>
      </c>
      <c r="K18" s="5" t="str">
        <f aca="false">TEXT(F18,"dddd")</f>
        <v>Tuesday</v>
      </c>
      <c r="L18" s="5" t="n">
        <f aca="false">WEEKDAY(F18,2)</f>
        <v>2</v>
      </c>
    </row>
    <row r="19" customFormat="false" ht="15" hidden="false" customHeight="false" outlineLevel="0" collapsed="false">
      <c r="A19" s="5" t="s">
        <v>115</v>
      </c>
      <c r="B19" s="5" t="s">
        <v>116</v>
      </c>
      <c r="C19" s="5" t="s">
        <v>43</v>
      </c>
      <c r="D19" s="5" t="s">
        <v>61</v>
      </c>
      <c r="E19" s="7" t="n">
        <v>46265</v>
      </c>
      <c r="F19" s="7" t="n">
        <v>46266</v>
      </c>
      <c r="G19" s="5" t="n">
        <v>54</v>
      </c>
      <c r="H19" s="5" t="n">
        <v>45</v>
      </c>
      <c r="I19" s="5" t="n">
        <v>810</v>
      </c>
      <c r="J19" s="5" t="str">
        <f aca="false">INDEX(Restaurant_Details!$B$2:$B$9,MATCH(B19,Restaurant_Details!$A$2:$A$9,0))</f>
        <v>Biryani Blues</v>
      </c>
      <c r="K19" s="5" t="str">
        <f aca="false">TEXT(F19,"dddd")</f>
        <v>Tuesday</v>
      </c>
      <c r="L19" s="5" t="n">
        <f aca="false">WEEKDAY(F19,2)</f>
        <v>2</v>
      </c>
    </row>
    <row r="20" customFormat="false" ht="15" hidden="false" customHeight="false" outlineLevel="0" collapsed="false">
      <c r="A20" s="5" t="s">
        <v>166</v>
      </c>
      <c r="B20" s="5" t="s">
        <v>93</v>
      </c>
      <c r="C20" s="5" t="s">
        <v>105</v>
      </c>
      <c r="D20" s="5" t="s">
        <v>38</v>
      </c>
      <c r="E20" s="7" t="n">
        <v>46258</v>
      </c>
      <c r="F20" s="7" t="n">
        <v>46258</v>
      </c>
      <c r="G20" s="5" t="n">
        <v>32</v>
      </c>
      <c r="H20" s="5" t="n">
        <v>45</v>
      </c>
      <c r="I20" s="5" t="n">
        <v>550</v>
      </c>
      <c r="J20" s="5" t="str">
        <f aca="false">INDEX(Restaurant_Details!$B$2:$B$9,MATCH(B20,Restaurant_Details!$A$2:$A$9,0))</f>
        <v>Gwalia Sweets</v>
      </c>
      <c r="K20" s="5" t="str">
        <f aca="false">TEXT(F20,"dddd")</f>
        <v>Monday</v>
      </c>
      <c r="L20" s="5" t="n">
        <f aca="false">WEEKDAY(F20,2)</f>
        <v>1</v>
      </c>
    </row>
    <row r="21" customFormat="false" ht="15" hidden="false" customHeight="false" outlineLevel="0" collapsed="false">
      <c r="A21" s="5" t="s">
        <v>123</v>
      </c>
      <c r="B21" s="5" t="s">
        <v>116</v>
      </c>
      <c r="C21" s="5" t="s">
        <v>43</v>
      </c>
      <c r="D21" s="5" t="s">
        <v>54</v>
      </c>
      <c r="E21" s="7" t="n">
        <v>46251</v>
      </c>
      <c r="F21" s="7" t="n">
        <v>46251</v>
      </c>
      <c r="G21" s="5" t="n">
        <v>55</v>
      </c>
      <c r="H21" s="5" t="n">
        <v>0</v>
      </c>
      <c r="I21" s="5" t="n">
        <v>810</v>
      </c>
      <c r="J21" s="5" t="str">
        <f aca="false">INDEX(Restaurant_Details!$B$2:$B$9,MATCH(B21,Restaurant_Details!$A$2:$A$9,0))</f>
        <v>Biryani Blues</v>
      </c>
      <c r="K21" s="5" t="str">
        <f aca="false">TEXT(F21,"dddd")</f>
        <v>Monday</v>
      </c>
      <c r="L21" s="5" t="n">
        <f aca="false">WEEKDAY(F21,2)</f>
        <v>1</v>
      </c>
    </row>
    <row r="22" customFormat="false" ht="15" hidden="false" customHeight="false" outlineLevel="0" collapsed="false">
      <c r="A22" s="5" t="s">
        <v>132</v>
      </c>
      <c r="B22" s="5" t="s">
        <v>116</v>
      </c>
      <c r="C22" s="5" t="s">
        <v>105</v>
      </c>
      <c r="D22" s="5" t="s">
        <v>38</v>
      </c>
      <c r="E22" s="7" t="n">
        <v>46217</v>
      </c>
      <c r="F22" s="7" t="n">
        <v>46217</v>
      </c>
      <c r="G22" s="5" t="n">
        <v>29</v>
      </c>
      <c r="H22" s="5" t="n">
        <v>40</v>
      </c>
      <c r="I22" s="5" t="n">
        <v>740</v>
      </c>
      <c r="J22" s="5" t="str">
        <f aca="false">INDEX(Restaurant_Details!$B$2:$B$9,MATCH(B22,Restaurant_Details!$A$2:$A$9,0))</f>
        <v>Biryani Blues</v>
      </c>
      <c r="K22" s="5" t="str">
        <f aca="false">TEXT(F22,"dddd")</f>
        <v>Tuesday</v>
      </c>
      <c r="L22" s="5" t="n">
        <f aca="false">WEEKDAY(F22,2)</f>
        <v>2</v>
      </c>
    </row>
    <row r="23" customFormat="false" ht="15" hidden="false" customHeight="false" outlineLevel="0" collapsed="false">
      <c r="A23" s="5" t="s">
        <v>150</v>
      </c>
      <c r="B23" s="5" t="s">
        <v>65</v>
      </c>
      <c r="C23" s="5" t="s">
        <v>37</v>
      </c>
      <c r="D23" s="5" t="s">
        <v>223</v>
      </c>
      <c r="E23" s="7" t="n">
        <v>46261</v>
      </c>
      <c r="F23" s="7" t="n">
        <v>46261</v>
      </c>
      <c r="G23" s="5" t="n">
        <v>34</v>
      </c>
      <c r="H23" s="5" t="n">
        <v>25</v>
      </c>
      <c r="I23" s="5" t="n">
        <v>160</v>
      </c>
      <c r="J23" s="5" t="str">
        <f aca="false">INDEX(Restaurant_Details!$B$2:$B$9,MATCH(B23,Restaurant_Details!$A$2:$A$9,0))</f>
        <v>KFC</v>
      </c>
      <c r="K23" s="5" t="str">
        <f aca="false">TEXT(F23,"dddd")</f>
        <v>Thursday</v>
      </c>
      <c r="L23" s="5" t="n">
        <f aca="false">WEEKDAY(F23,2)</f>
        <v>4</v>
      </c>
    </row>
    <row r="24" customFormat="false" ht="15" hidden="false" customHeight="false" outlineLevel="0" collapsed="false">
      <c r="A24" s="5" t="s">
        <v>201</v>
      </c>
      <c r="B24" s="5" t="s">
        <v>93</v>
      </c>
      <c r="C24" s="5" t="s">
        <v>84</v>
      </c>
      <c r="D24" s="5" t="s">
        <v>223</v>
      </c>
      <c r="E24" s="7" t="n">
        <v>46263</v>
      </c>
      <c r="F24" s="7" t="n">
        <v>46264</v>
      </c>
      <c r="G24" s="5" t="n">
        <v>24</v>
      </c>
      <c r="H24" s="5" t="n">
        <v>45</v>
      </c>
      <c r="I24" s="5" t="n">
        <v>1000</v>
      </c>
      <c r="J24" s="5" t="str">
        <f aca="false">INDEX(Restaurant_Details!$B$2:$B$9,MATCH(B24,Restaurant_Details!$A$2:$A$9,0))</f>
        <v>Gwalia Sweets</v>
      </c>
      <c r="K24" s="5" t="str">
        <f aca="false">TEXT(F24,"dddd")</f>
        <v>Sunday</v>
      </c>
      <c r="L24" s="5" t="n">
        <f aca="false">WEEKDAY(F24,2)</f>
        <v>7</v>
      </c>
    </row>
    <row r="25" customFormat="false" ht="15" hidden="false" customHeight="false" outlineLevel="0" collapsed="false">
      <c r="A25" s="5" t="s">
        <v>96</v>
      </c>
      <c r="B25" s="5" t="s">
        <v>42</v>
      </c>
      <c r="C25" s="5" t="s">
        <v>37</v>
      </c>
      <c r="D25" s="5" t="s">
        <v>69</v>
      </c>
      <c r="E25" s="7" t="n">
        <v>46205</v>
      </c>
      <c r="F25" s="7" t="n">
        <v>46205</v>
      </c>
      <c r="G25" s="5" t="n">
        <v>57</v>
      </c>
      <c r="H25" s="5" t="n">
        <v>25</v>
      </c>
      <c r="I25" s="5" t="n">
        <v>1140</v>
      </c>
      <c r="J25" s="5" t="str">
        <f aca="false">INDEX(Restaurant_Details!$B$2:$B$9,MATCH(B25,Restaurant_Details!$A$2:$A$9,0))</f>
        <v>Domino's</v>
      </c>
      <c r="K25" s="5" t="str">
        <f aca="false">TEXT(F25,"dddd")</f>
        <v>Thursday</v>
      </c>
      <c r="L25" s="5" t="n">
        <f aca="false">WEEKDAY(F25,2)</f>
        <v>4</v>
      </c>
    </row>
    <row r="26" customFormat="false" ht="15" hidden="false" customHeight="false" outlineLevel="0" collapsed="false">
      <c r="A26" s="5" t="s">
        <v>214</v>
      </c>
      <c r="B26" s="5" t="s">
        <v>65</v>
      </c>
      <c r="C26" s="5" t="s">
        <v>105</v>
      </c>
      <c r="D26" s="5" t="s">
        <v>50</v>
      </c>
      <c r="E26" s="7" t="n">
        <v>46216</v>
      </c>
      <c r="F26" s="7" t="n">
        <v>46216</v>
      </c>
      <c r="G26" s="5" t="n">
        <v>19</v>
      </c>
      <c r="H26" s="5" t="n">
        <v>40</v>
      </c>
      <c r="I26" s="5" t="n">
        <v>1160</v>
      </c>
      <c r="J26" s="5" t="str">
        <f aca="false">INDEX(Restaurant_Details!$B$2:$B$9,MATCH(B26,Restaurant_Details!$A$2:$A$9,0))</f>
        <v>KFC</v>
      </c>
      <c r="K26" s="5" t="str">
        <f aca="false">TEXT(F26,"dddd")</f>
        <v>Monday</v>
      </c>
      <c r="L26" s="5" t="n">
        <f aca="false">WEEKDAY(F26,2)</f>
        <v>1</v>
      </c>
    </row>
    <row r="27" customFormat="false" ht="15" hidden="false" customHeight="false" outlineLevel="0" collapsed="false">
      <c r="A27" s="5" t="s">
        <v>80</v>
      </c>
      <c r="B27" s="5" t="s">
        <v>36</v>
      </c>
      <c r="C27" s="5" t="s">
        <v>58</v>
      </c>
      <c r="D27" s="5" t="s">
        <v>50</v>
      </c>
      <c r="E27" s="7" t="n">
        <v>46219</v>
      </c>
      <c r="F27" s="7" t="n">
        <v>46220</v>
      </c>
      <c r="G27" s="5" t="n">
        <v>52</v>
      </c>
      <c r="H27" s="5" t="n">
        <v>30</v>
      </c>
      <c r="I27" s="5" t="n">
        <v>490</v>
      </c>
      <c r="J27" s="5" t="str">
        <f aca="false">INDEX(Restaurant_Details!$B$2:$B$9,MATCH(B27,Restaurant_Details!$A$2:$A$9,0))</f>
        <v>Burger King</v>
      </c>
      <c r="K27" s="5" t="str">
        <f aca="false">TEXT(F27,"dddd")</f>
        <v>Friday</v>
      </c>
      <c r="L27" s="5" t="n">
        <f aca="false">WEEKDAY(F27,2)</f>
        <v>5</v>
      </c>
    </row>
    <row r="28" customFormat="false" ht="15" hidden="false" customHeight="false" outlineLevel="0" collapsed="false">
      <c r="A28" s="5" t="s">
        <v>207</v>
      </c>
      <c r="B28" s="5" t="s">
        <v>53</v>
      </c>
      <c r="C28" s="5" t="s">
        <v>37</v>
      </c>
      <c r="D28" s="5" t="s">
        <v>38</v>
      </c>
      <c r="E28" s="7" t="n">
        <v>46249</v>
      </c>
      <c r="F28" s="7" t="n">
        <v>46250</v>
      </c>
      <c r="G28" s="5" t="n">
        <v>39</v>
      </c>
      <c r="H28" s="5" t="n">
        <v>0</v>
      </c>
      <c r="I28" s="5" t="n">
        <v>1110</v>
      </c>
      <c r="J28" s="5" t="str">
        <f aca="false">INDEX(Restaurant_Details!$B$2:$B$9,MATCH(B28,Restaurant_Details!$A$2:$A$9,0))</f>
        <v>Wok Express</v>
      </c>
      <c r="K28" s="5" t="str">
        <f aca="false">TEXT(F28,"dddd")</f>
        <v>Sunday</v>
      </c>
      <c r="L28" s="5" t="n">
        <f aca="false">WEEKDAY(F28,2)</f>
        <v>7</v>
      </c>
    </row>
    <row r="29" customFormat="false" ht="15" hidden="false" customHeight="false" outlineLevel="0" collapsed="false">
      <c r="A29" s="5" t="s">
        <v>112</v>
      </c>
      <c r="B29" s="5" t="s">
        <v>93</v>
      </c>
      <c r="C29" s="5" t="s">
        <v>43</v>
      </c>
      <c r="D29" s="5" t="s">
        <v>223</v>
      </c>
      <c r="E29" s="7" t="n">
        <v>46208</v>
      </c>
      <c r="F29" s="7" t="n">
        <v>46209</v>
      </c>
      <c r="G29" s="5" t="n">
        <v>26</v>
      </c>
      <c r="H29" s="5" t="n">
        <v>45</v>
      </c>
      <c r="I29" s="5" t="n">
        <v>1220</v>
      </c>
      <c r="J29" s="5" t="str">
        <f aca="false">INDEX(Restaurant_Details!$B$2:$B$9,MATCH(B29,Restaurant_Details!$A$2:$A$9,0))</f>
        <v>Gwalia Sweets</v>
      </c>
      <c r="K29" s="5" t="str">
        <f aca="false">TEXT(F29,"dddd")</f>
        <v>Monday</v>
      </c>
      <c r="L29" s="5" t="n">
        <f aca="false">WEEKDAY(F29,2)</f>
        <v>1</v>
      </c>
    </row>
    <row r="30" customFormat="false" ht="15" hidden="false" customHeight="false" outlineLevel="0" collapsed="false">
      <c r="A30" s="5" t="s">
        <v>77</v>
      </c>
      <c r="B30" s="5" t="s">
        <v>48</v>
      </c>
      <c r="C30" s="5" t="s">
        <v>37</v>
      </c>
      <c r="D30" s="5" t="s">
        <v>223</v>
      </c>
      <c r="E30" s="7" t="n">
        <v>46235</v>
      </c>
      <c r="F30" s="7" t="n">
        <v>46236</v>
      </c>
      <c r="G30" s="5" t="n">
        <v>33</v>
      </c>
      <c r="H30" s="5" t="n">
        <v>0</v>
      </c>
      <c r="I30" s="5" t="n">
        <v>1020</v>
      </c>
      <c r="J30" s="5" t="str">
        <f aca="false">INDEX(Restaurant_Details!$B$2:$B$9,MATCH(B30,Restaurant_Details!$A$2:$A$9,0))</f>
        <v>Honest Restaurant</v>
      </c>
      <c r="K30" s="5" t="str">
        <f aca="false">TEXT(F30,"dddd")</f>
        <v>Sunday</v>
      </c>
      <c r="L30" s="5" t="n">
        <f aca="false">WEEKDAY(F30,2)</f>
        <v>7</v>
      </c>
    </row>
    <row r="31" customFormat="false" ht="15" hidden="false" customHeight="false" outlineLevel="0" collapsed="false">
      <c r="A31" s="5" t="s">
        <v>209</v>
      </c>
      <c r="B31" s="5" t="s">
        <v>116</v>
      </c>
      <c r="C31" s="5" t="s">
        <v>37</v>
      </c>
      <c r="D31" s="5" t="s">
        <v>50</v>
      </c>
      <c r="E31" s="7" t="n">
        <v>46257</v>
      </c>
      <c r="F31" s="7" t="n">
        <v>46258</v>
      </c>
      <c r="G31" s="5" t="n">
        <v>50</v>
      </c>
      <c r="H31" s="5" t="n">
        <v>45</v>
      </c>
      <c r="I31" s="5" t="n">
        <v>340</v>
      </c>
      <c r="J31" s="5" t="str">
        <f aca="false">INDEX(Restaurant_Details!$B$2:$B$9,MATCH(B31,Restaurant_Details!$A$2:$A$9,0))</f>
        <v>Biryani Blues</v>
      </c>
      <c r="K31" s="5" t="str">
        <f aca="false">TEXT(F31,"dddd")</f>
        <v>Monday</v>
      </c>
      <c r="L31" s="5" t="n">
        <f aca="false">WEEKDAY(F31,2)</f>
        <v>1</v>
      </c>
    </row>
    <row r="32" customFormat="false" ht="15" hidden="false" customHeight="false" outlineLevel="0" collapsed="false">
      <c r="A32" s="5" t="s">
        <v>52</v>
      </c>
      <c r="B32" s="5" t="s">
        <v>53</v>
      </c>
      <c r="C32" s="5" t="s">
        <v>37</v>
      </c>
      <c r="D32" s="5" t="s">
        <v>54</v>
      </c>
      <c r="E32" s="7" t="n">
        <v>46241</v>
      </c>
      <c r="F32" s="7" t="n">
        <v>46241</v>
      </c>
      <c r="G32" s="5" t="n">
        <v>51</v>
      </c>
      <c r="H32" s="5" t="n">
        <v>45</v>
      </c>
      <c r="I32" s="5" t="n">
        <v>1120</v>
      </c>
      <c r="J32" s="5" t="str">
        <f aca="false">INDEX(Restaurant_Details!$B$2:$B$9,MATCH(B32,Restaurant_Details!$A$2:$A$9,0))</f>
        <v>Wok Express</v>
      </c>
      <c r="K32" s="5" t="str">
        <f aca="false">TEXT(F32,"dddd")</f>
        <v>Friday</v>
      </c>
      <c r="L32" s="5" t="n">
        <f aca="false">WEEKDAY(F32,2)</f>
        <v>5</v>
      </c>
    </row>
    <row r="33" customFormat="false" ht="15" hidden="false" customHeight="false" outlineLevel="0" collapsed="false">
      <c r="A33" s="5" t="s">
        <v>142</v>
      </c>
      <c r="B33" s="5" t="s">
        <v>57</v>
      </c>
      <c r="C33" s="5" t="s">
        <v>105</v>
      </c>
      <c r="D33" s="5" t="s">
        <v>69</v>
      </c>
      <c r="E33" s="7" t="n">
        <v>46223</v>
      </c>
      <c r="F33" s="7" t="n">
        <v>46223</v>
      </c>
      <c r="G33" s="5" t="n">
        <v>49</v>
      </c>
      <c r="H33" s="5" t="n">
        <v>30</v>
      </c>
      <c r="I33" s="5" t="n">
        <v>1370</v>
      </c>
      <c r="J33" s="5" t="str">
        <f aca="false">INDEX(Restaurant_Details!$B$2:$B$9,MATCH(B33,Restaurant_Details!$A$2:$A$9,0))</f>
        <v>Pizza Hut</v>
      </c>
      <c r="K33" s="5" t="str">
        <f aca="false">TEXT(F33,"dddd")</f>
        <v>Monday</v>
      </c>
      <c r="L33" s="5" t="n">
        <f aca="false">WEEKDAY(F33,2)</f>
        <v>1</v>
      </c>
    </row>
    <row r="34" customFormat="false" ht="15" hidden="false" customHeight="false" outlineLevel="0" collapsed="false">
      <c r="A34" s="5" t="s">
        <v>121</v>
      </c>
      <c r="B34" s="5" t="s">
        <v>116</v>
      </c>
      <c r="C34" s="5" t="s">
        <v>84</v>
      </c>
      <c r="D34" s="5" t="s">
        <v>50</v>
      </c>
      <c r="E34" s="7" t="n">
        <v>46256</v>
      </c>
      <c r="F34" s="7" t="n">
        <v>46256</v>
      </c>
      <c r="G34" s="5" t="n">
        <v>33</v>
      </c>
      <c r="H34" s="5" t="n">
        <v>40</v>
      </c>
      <c r="I34" s="5" t="n">
        <v>850</v>
      </c>
      <c r="J34" s="5" t="str">
        <f aca="false">INDEX(Restaurant_Details!$B$2:$B$9,MATCH(B34,Restaurant_Details!$A$2:$A$9,0))</f>
        <v>Biryani Blues</v>
      </c>
      <c r="K34" s="5" t="str">
        <f aca="false">TEXT(F34,"dddd")</f>
        <v>Saturday</v>
      </c>
      <c r="L34" s="5" t="n">
        <f aca="false">WEEKDAY(F34,2)</f>
        <v>6</v>
      </c>
    </row>
    <row r="35" customFormat="false" ht="15" hidden="false" customHeight="false" outlineLevel="0" collapsed="false">
      <c r="A35" s="5" t="s">
        <v>188</v>
      </c>
      <c r="B35" s="5" t="s">
        <v>57</v>
      </c>
      <c r="C35" s="5" t="s">
        <v>43</v>
      </c>
      <c r="D35" s="5" t="s">
        <v>54</v>
      </c>
      <c r="E35" s="7" t="n">
        <v>46245</v>
      </c>
      <c r="F35" s="7" t="n">
        <v>46246</v>
      </c>
      <c r="G35" s="5" t="n">
        <v>34</v>
      </c>
      <c r="H35" s="5" t="n">
        <v>45</v>
      </c>
      <c r="I35" s="5" t="n">
        <v>390</v>
      </c>
      <c r="J35" s="5" t="str">
        <f aca="false">INDEX(Restaurant_Details!$B$2:$B$9,MATCH(B35,Restaurant_Details!$A$2:$A$9,0))</f>
        <v>Pizza Hut</v>
      </c>
      <c r="K35" s="5" t="str">
        <f aca="false">TEXT(F35,"dddd")</f>
        <v>Wednesday</v>
      </c>
      <c r="L35" s="5" t="n">
        <f aca="false">WEEKDAY(F35,2)</f>
        <v>3</v>
      </c>
    </row>
    <row r="36" customFormat="false" ht="15" hidden="false" customHeight="false" outlineLevel="0" collapsed="false">
      <c r="A36" s="5" t="s">
        <v>180</v>
      </c>
      <c r="B36" s="5" t="s">
        <v>42</v>
      </c>
      <c r="C36" s="5" t="s">
        <v>43</v>
      </c>
      <c r="D36" s="5" t="s">
        <v>54</v>
      </c>
      <c r="E36" s="7" t="n">
        <v>46251</v>
      </c>
      <c r="F36" s="7" t="n">
        <v>46251</v>
      </c>
      <c r="G36" s="5" t="n">
        <v>23</v>
      </c>
      <c r="H36" s="5" t="n">
        <v>45</v>
      </c>
      <c r="I36" s="5" t="n">
        <v>630</v>
      </c>
      <c r="J36" s="5" t="str">
        <f aca="false">INDEX(Restaurant_Details!$B$2:$B$9,MATCH(B36,Restaurant_Details!$A$2:$A$9,0))</f>
        <v>Domino's</v>
      </c>
      <c r="K36" s="5" t="str">
        <f aca="false">TEXT(F36,"dddd")</f>
        <v>Monday</v>
      </c>
      <c r="L36" s="5" t="n">
        <f aca="false">WEEKDAY(F36,2)</f>
        <v>1</v>
      </c>
    </row>
    <row r="37" customFormat="false" ht="15" hidden="false" customHeight="false" outlineLevel="0" collapsed="false">
      <c r="A37" s="5" t="s">
        <v>41</v>
      </c>
      <c r="B37" s="5" t="s">
        <v>42</v>
      </c>
      <c r="C37" s="5" t="s">
        <v>43</v>
      </c>
      <c r="D37" s="5" t="s">
        <v>223</v>
      </c>
      <c r="E37" s="7" t="n">
        <v>46235</v>
      </c>
      <c r="F37" s="7" t="n">
        <v>46235</v>
      </c>
      <c r="G37" s="5" t="n">
        <v>39</v>
      </c>
      <c r="H37" s="5" t="n">
        <v>40</v>
      </c>
      <c r="I37" s="5" t="n">
        <v>560</v>
      </c>
      <c r="J37" s="5" t="str">
        <f aca="false">INDEX(Restaurant_Details!$B$2:$B$9,MATCH(B37,Restaurant_Details!$A$2:$A$9,0))</f>
        <v>Domino's</v>
      </c>
      <c r="K37" s="5" t="str">
        <f aca="false">TEXT(F37,"dddd")</f>
        <v>Saturday</v>
      </c>
      <c r="L37" s="5" t="n">
        <f aca="false">WEEKDAY(F37,2)</f>
        <v>6</v>
      </c>
    </row>
    <row r="38" customFormat="false" ht="15" hidden="false" customHeight="false" outlineLevel="0" collapsed="false">
      <c r="A38" s="5" t="s">
        <v>117</v>
      </c>
      <c r="B38" s="5" t="s">
        <v>48</v>
      </c>
      <c r="C38" s="5" t="s">
        <v>43</v>
      </c>
      <c r="D38" s="5" t="s">
        <v>69</v>
      </c>
      <c r="E38" s="7" t="n">
        <v>46223</v>
      </c>
      <c r="F38" s="7" t="n">
        <v>46223</v>
      </c>
      <c r="G38" s="5" t="n">
        <v>54</v>
      </c>
      <c r="H38" s="5" t="n">
        <v>45</v>
      </c>
      <c r="I38" s="5" t="n">
        <v>950</v>
      </c>
      <c r="J38" s="5" t="str">
        <f aca="false">INDEX(Restaurant_Details!$B$2:$B$9,MATCH(B38,Restaurant_Details!$A$2:$A$9,0))</f>
        <v>Honest Restaurant</v>
      </c>
      <c r="K38" s="5" t="str">
        <f aca="false">TEXT(F38,"dddd")</f>
        <v>Monday</v>
      </c>
      <c r="L38" s="5" t="n">
        <f aca="false">WEEKDAY(F38,2)</f>
        <v>1</v>
      </c>
    </row>
    <row r="39" customFormat="false" ht="15" hidden="false" customHeight="false" outlineLevel="0" collapsed="false">
      <c r="A39" s="5" t="s">
        <v>184</v>
      </c>
      <c r="B39" s="5" t="s">
        <v>42</v>
      </c>
      <c r="C39" s="5" t="s">
        <v>58</v>
      </c>
      <c r="D39" s="5" t="s">
        <v>69</v>
      </c>
      <c r="E39" s="7" t="n">
        <v>46222</v>
      </c>
      <c r="F39" s="7" t="n">
        <v>46223</v>
      </c>
      <c r="G39" s="5" t="n">
        <v>33</v>
      </c>
      <c r="H39" s="5" t="n">
        <v>25</v>
      </c>
      <c r="I39" s="5" t="n">
        <v>420</v>
      </c>
      <c r="J39" s="5" t="str">
        <f aca="false">INDEX(Restaurant_Details!$B$2:$B$9,MATCH(B39,Restaurant_Details!$A$2:$A$9,0))</f>
        <v>Domino's</v>
      </c>
      <c r="K39" s="5" t="str">
        <f aca="false">TEXT(F39,"dddd")</f>
        <v>Monday</v>
      </c>
      <c r="L39" s="5" t="n">
        <f aca="false">WEEKDAY(F39,2)</f>
        <v>1</v>
      </c>
    </row>
    <row r="40" customFormat="false" ht="15" hidden="false" customHeight="false" outlineLevel="0" collapsed="false">
      <c r="A40" s="5" t="s">
        <v>110</v>
      </c>
      <c r="B40" s="5" t="s">
        <v>53</v>
      </c>
      <c r="C40" s="5" t="s">
        <v>37</v>
      </c>
      <c r="D40" s="5" t="s">
        <v>106</v>
      </c>
      <c r="E40" s="7" t="n">
        <v>46273</v>
      </c>
      <c r="F40" s="7" t="n">
        <v>46274</v>
      </c>
      <c r="G40" s="5" t="n">
        <v>37</v>
      </c>
      <c r="H40" s="5" t="n">
        <v>40</v>
      </c>
      <c r="I40" s="5" t="n">
        <v>1390</v>
      </c>
      <c r="J40" s="5" t="str">
        <f aca="false">INDEX(Restaurant_Details!$B$2:$B$9,MATCH(B40,Restaurant_Details!$A$2:$A$9,0))</f>
        <v>Wok Express</v>
      </c>
      <c r="K40" s="5" t="str">
        <f aca="false">TEXT(F40,"dddd")</f>
        <v>Wednesday</v>
      </c>
      <c r="L40" s="5" t="n">
        <f aca="false">WEEKDAY(F40,2)</f>
        <v>3</v>
      </c>
    </row>
    <row r="41" customFormat="false" ht="15" hidden="false" customHeight="false" outlineLevel="0" collapsed="false">
      <c r="A41" s="5" t="s">
        <v>170</v>
      </c>
      <c r="B41" s="5" t="s">
        <v>36</v>
      </c>
      <c r="C41" s="5" t="s">
        <v>49</v>
      </c>
      <c r="D41" s="5" t="s">
        <v>38</v>
      </c>
      <c r="E41" s="7" t="n">
        <v>46230</v>
      </c>
      <c r="F41" s="7" t="n">
        <v>46231</v>
      </c>
      <c r="G41" s="5" t="n">
        <v>21</v>
      </c>
      <c r="H41" s="5" t="n">
        <v>30</v>
      </c>
      <c r="I41" s="5" t="n">
        <v>1010</v>
      </c>
      <c r="J41" s="5" t="str">
        <f aca="false">INDEX(Restaurant_Details!$B$2:$B$9,MATCH(B41,Restaurant_Details!$A$2:$A$9,0))</f>
        <v>Burger King</v>
      </c>
      <c r="K41" s="5" t="str">
        <f aca="false">TEXT(F41,"dddd")</f>
        <v>Tuesday</v>
      </c>
      <c r="L41" s="5" t="n">
        <f aca="false">WEEKDAY(F41,2)</f>
        <v>2</v>
      </c>
    </row>
    <row r="42" customFormat="false" ht="15" hidden="false" customHeight="false" outlineLevel="0" collapsed="false">
      <c r="A42" s="5" t="s">
        <v>126</v>
      </c>
      <c r="B42" s="5" t="s">
        <v>53</v>
      </c>
      <c r="C42" s="5" t="s">
        <v>105</v>
      </c>
      <c r="D42" s="5" t="s">
        <v>69</v>
      </c>
      <c r="E42" s="7" t="n">
        <v>46266</v>
      </c>
      <c r="F42" s="7" t="n">
        <v>46267</v>
      </c>
      <c r="G42" s="5" t="n">
        <v>46</v>
      </c>
      <c r="H42" s="5" t="n">
        <v>25</v>
      </c>
      <c r="I42" s="5" t="n">
        <v>1110</v>
      </c>
      <c r="J42" s="5" t="str">
        <f aca="false">INDEX(Restaurant_Details!$B$2:$B$9,MATCH(B42,Restaurant_Details!$A$2:$A$9,0))</f>
        <v>Wok Express</v>
      </c>
      <c r="K42" s="5" t="str">
        <f aca="false">TEXT(F42,"dddd")</f>
        <v>Wednesday</v>
      </c>
      <c r="L42" s="5" t="n">
        <f aca="false">WEEKDAY(F42,2)</f>
        <v>3</v>
      </c>
    </row>
    <row r="43" customFormat="false" ht="15" hidden="false" customHeight="false" outlineLevel="0" collapsed="false">
      <c r="A43" s="5" t="s">
        <v>211</v>
      </c>
      <c r="B43" s="5" t="s">
        <v>116</v>
      </c>
      <c r="C43" s="5" t="s">
        <v>84</v>
      </c>
      <c r="D43" s="5" t="s">
        <v>61</v>
      </c>
      <c r="E43" s="7" t="n">
        <v>46257</v>
      </c>
      <c r="F43" s="7" t="n">
        <v>46257</v>
      </c>
      <c r="G43" s="5" t="n">
        <v>30</v>
      </c>
      <c r="H43" s="5" t="n">
        <v>25</v>
      </c>
      <c r="I43" s="5" t="n">
        <v>1120</v>
      </c>
      <c r="J43" s="5" t="str">
        <f aca="false">INDEX(Restaurant_Details!$B$2:$B$9,MATCH(B43,Restaurant_Details!$A$2:$A$9,0))</f>
        <v>Biryani Blues</v>
      </c>
      <c r="K43" s="5" t="str">
        <f aca="false">TEXT(F43,"dddd")</f>
        <v>Sunday</v>
      </c>
      <c r="L43" s="5" t="n">
        <f aca="false">WEEKDAY(F43,2)</f>
        <v>7</v>
      </c>
    </row>
    <row r="44" customFormat="false" ht="15" hidden="false" customHeight="false" outlineLevel="0" collapsed="false">
      <c r="A44" s="5" t="s">
        <v>189</v>
      </c>
      <c r="B44" s="5" t="s">
        <v>65</v>
      </c>
      <c r="C44" s="5" t="s">
        <v>58</v>
      </c>
      <c r="D44" s="5" t="s">
        <v>61</v>
      </c>
      <c r="E44" s="7" t="n">
        <v>46252</v>
      </c>
      <c r="F44" s="7" t="n">
        <v>46252</v>
      </c>
      <c r="G44" s="5" t="n">
        <v>50</v>
      </c>
      <c r="H44" s="5" t="n">
        <v>25</v>
      </c>
      <c r="I44" s="5" t="n">
        <v>1350</v>
      </c>
      <c r="J44" s="5" t="str">
        <f aca="false">INDEX(Restaurant_Details!$B$2:$B$9,MATCH(B44,Restaurant_Details!$A$2:$A$9,0))</f>
        <v>KFC</v>
      </c>
      <c r="K44" s="5" t="str">
        <f aca="false">TEXT(F44,"dddd")</f>
        <v>Tuesday</v>
      </c>
      <c r="L44" s="5" t="n">
        <f aca="false">WEEKDAY(F44,2)</f>
        <v>2</v>
      </c>
    </row>
    <row r="45" customFormat="false" ht="15" hidden="false" customHeight="false" outlineLevel="0" collapsed="false">
      <c r="A45" s="5" t="s">
        <v>134</v>
      </c>
      <c r="B45" s="5" t="s">
        <v>65</v>
      </c>
      <c r="C45" s="5" t="s">
        <v>58</v>
      </c>
      <c r="D45" s="5" t="s">
        <v>223</v>
      </c>
      <c r="E45" s="7" t="n">
        <v>46278</v>
      </c>
      <c r="F45" s="7" t="n">
        <v>46279</v>
      </c>
      <c r="G45" s="5" t="n">
        <v>33</v>
      </c>
      <c r="H45" s="5" t="n">
        <v>40</v>
      </c>
      <c r="I45" s="5" t="n">
        <v>1130</v>
      </c>
      <c r="J45" s="5" t="str">
        <f aca="false">INDEX(Restaurant_Details!$B$2:$B$9,MATCH(B45,Restaurant_Details!$A$2:$A$9,0))</f>
        <v>KFC</v>
      </c>
      <c r="K45" s="5" t="str">
        <f aca="false">TEXT(F45,"dddd")</f>
        <v>Monday</v>
      </c>
      <c r="L45" s="5" t="n">
        <f aca="false">WEEKDAY(F45,2)</f>
        <v>1</v>
      </c>
    </row>
    <row r="46" customFormat="false" ht="15" hidden="false" customHeight="false" outlineLevel="0" collapsed="false">
      <c r="A46" s="5" t="s">
        <v>119</v>
      </c>
      <c r="B46" s="5" t="s">
        <v>53</v>
      </c>
      <c r="C46" s="5" t="s">
        <v>37</v>
      </c>
      <c r="D46" s="5" t="s">
        <v>61</v>
      </c>
      <c r="E46" s="7" t="n">
        <v>46254</v>
      </c>
      <c r="F46" s="7" t="n">
        <v>46254</v>
      </c>
      <c r="G46" s="5" t="n">
        <v>33</v>
      </c>
      <c r="H46" s="5" t="n">
        <v>30</v>
      </c>
      <c r="I46" s="5" t="n">
        <v>1360</v>
      </c>
      <c r="J46" s="5" t="str">
        <f aca="false">INDEX(Restaurant_Details!$B$2:$B$9,MATCH(B46,Restaurant_Details!$A$2:$A$9,0))</f>
        <v>Wok Express</v>
      </c>
      <c r="K46" s="5" t="str">
        <f aca="false">TEXT(F46,"dddd")</f>
        <v>Thursday</v>
      </c>
      <c r="L46" s="5" t="n">
        <f aca="false">WEEKDAY(F46,2)</f>
        <v>4</v>
      </c>
    </row>
    <row r="47" customFormat="false" ht="15" hidden="false" customHeight="false" outlineLevel="0" collapsed="false">
      <c r="A47" s="5" t="s">
        <v>140</v>
      </c>
      <c r="B47" s="5" t="s">
        <v>57</v>
      </c>
      <c r="C47" s="5" t="s">
        <v>37</v>
      </c>
      <c r="D47" s="5" t="s">
        <v>223</v>
      </c>
      <c r="E47" s="7" t="n">
        <v>46253</v>
      </c>
      <c r="F47" s="7" t="n">
        <v>46253</v>
      </c>
      <c r="G47" s="5" t="n">
        <v>24</v>
      </c>
      <c r="H47" s="5" t="n">
        <v>40</v>
      </c>
      <c r="I47" s="5" t="n">
        <v>1260</v>
      </c>
      <c r="J47" s="5" t="str">
        <f aca="false">INDEX(Restaurant_Details!$B$2:$B$9,MATCH(B47,Restaurant_Details!$A$2:$A$9,0))</f>
        <v>Pizza Hut</v>
      </c>
      <c r="K47" s="5" t="str">
        <f aca="false">TEXT(F47,"dddd")</f>
        <v>Wednesday</v>
      </c>
      <c r="L47" s="5" t="n">
        <f aca="false">WEEKDAY(F47,2)</f>
        <v>3</v>
      </c>
    </row>
    <row r="48" customFormat="false" ht="15" hidden="false" customHeight="false" outlineLevel="0" collapsed="false">
      <c r="A48" s="5" t="s">
        <v>146</v>
      </c>
      <c r="B48" s="5" t="s">
        <v>57</v>
      </c>
      <c r="C48" s="5" t="s">
        <v>37</v>
      </c>
      <c r="D48" s="5" t="s">
        <v>223</v>
      </c>
      <c r="E48" s="7" t="n">
        <v>46265</v>
      </c>
      <c r="F48" s="7" t="n">
        <v>46265</v>
      </c>
      <c r="G48" s="5" t="n">
        <v>48</v>
      </c>
      <c r="H48" s="5" t="n">
        <v>25</v>
      </c>
      <c r="I48" s="5" t="n">
        <v>400</v>
      </c>
      <c r="J48" s="5" t="str">
        <f aca="false">INDEX(Restaurant_Details!$B$2:$B$9,MATCH(B48,Restaurant_Details!$A$2:$A$9,0))</f>
        <v>Pizza Hut</v>
      </c>
      <c r="K48" s="5" t="str">
        <f aca="false">TEXT(F48,"dddd")</f>
        <v>Monday</v>
      </c>
      <c r="L48" s="5" t="n">
        <f aca="false">WEEKDAY(F48,2)</f>
        <v>1</v>
      </c>
    </row>
    <row r="49" customFormat="false" ht="15" hidden="false" customHeight="false" outlineLevel="0" collapsed="false">
      <c r="A49" s="5" t="s">
        <v>86</v>
      </c>
      <c r="B49" s="5" t="s">
        <v>57</v>
      </c>
      <c r="C49" s="5" t="s">
        <v>49</v>
      </c>
      <c r="D49" s="5" t="s">
        <v>69</v>
      </c>
      <c r="E49" s="7" t="n">
        <v>46224</v>
      </c>
      <c r="F49" s="7" t="n">
        <v>46225</v>
      </c>
      <c r="G49" s="5" t="n">
        <v>46</v>
      </c>
      <c r="H49" s="5" t="n">
        <v>0</v>
      </c>
      <c r="I49" s="5" t="n">
        <v>260</v>
      </c>
      <c r="J49" s="5" t="str">
        <f aca="false">INDEX(Restaurant_Details!$B$2:$B$9,MATCH(B49,Restaurant_Details!$A$2:$A$9,0))</f>
        <v>Pizza Hut</v>
      </c>
      <c r="K49" s="5" t="str">
        <f aca="false">TEXT(F49,"dddd")</f>
        <v>Wednesday</v>
      </c>
      <c r="L49" s="5" t="n">
        <f aca="false">WEEKDAY(F49,2)</f>
        <v>3</v>
      </c>
    </row>
    <row r="50" customFormat="false" ht="15" hidden="false" customHeight="false" outlineLevel="0" collapsed="false">
      <c r="A50" s="5" t="s">
        <v>163</v>
      </c>
      <c r="B50" s="5" t="s">
        <v>48</v>
      </c>
      <c r="C50" s="5" t="s">
        <v>58</v>
      </c>
      <c r="D50" s="5" t="s">
        <v>69</v>
      </c>
      <c r="E50" s="7" t="n">
        <v>46241</v>
      </c>
      <c r="F50" s="7" t="n">
        <v>46242</v>
      </c>
      <c r="G50" s="5" t="n">
        <v>54</v>
      </c>
      <c r="H50" s="5" t="n">
        <v>0</v>
      </c>
      <c r="I50" s="5" t="n">
        <v>1140</v>
      </c>
      <c r="J50" s="5" t="str">
        <f aca="false">INDEX(Restaurant_Details!$B$2:$B$9,MATCH(B50,Restaurant_Details!$A$2:$A$9,0))</f>
        <v>Honest Restaurant</v>
      </c>
      <c r="K50" s="5" t="str">
        <f aca="false">TEXT(F50,"dddd")</f>
        <v>Saturday</v>
      </c>
      <c r="L50" s="5" t="n">
        <f aca="false">WEEKDAY(F50,2)</f>
        <v>6</v>
      </c>
    </row>
    <row r="51" customFormat="false" ht="15" hidden="false" customHeight="false" outlineLevel="0" collapsed="false">
      <c r="A51" s="5" t="s">
        <v>101</v>
      </c>
      <c r="B51" s="5" t="s">
        <v>42</v>
      </c>
      <c r="C51" s="5" t="s">
        <v>58</v>
      </c>
      <c r="D51" s="5" t="s">
        <v>223</v>
      </c>
      <c r="E51" s="7" t="n">
        <v>46207</v>
      </c>
      <c r="F51" s="7" t="n">
        <v>46208</v>
      </c>
      <c r="G51" s="5" t="n">
        <v>36</v>
      </c>
      <c r="H51" s="5" t="n">
        <v>45</v>
      </c>
      <c r="I51" s="5" t="n">
        <v>590</v>
      </c>
      <c r="J51" s="5" t="str">
        <f aca="false">INDEX(Restaurant_Details!$B$2:$B$9,MATCH(B51,Restaurant_Details!$A$2:$A$9,0))</f>
        <v>Domino's</v>
      </c>
      <c r="K51" s="5" t="str">
        <f aca="false">TEXT(F51,"dddd")</f>
        <v>Sunday</v>
      </c>
      <c r="L51" s="5" t="n">
        <f aca="false">WEEKDAY(F51,2)</f>
        <v>7</v>
      </c>
    </row>
    <row r="52" customFormat="false" ht="15" hidden="false" customHeight="false" outlineLevel="0" collapsed="false">
      <c r="A52" s="5" t="s">
        <v>154</v>
      </c>
      <c r="B52" s="5" t="s">
        <v>42</v>
      </c>
      <c r="C52" s="5" t="s">
        <v>49</v>
      </c>
      <c r="D52" s="5" t="s">
        <v>54</v>
      </c>
      <c r="E52" s="7" t="n">
        <v>46265</v>
      </c>
      <c r="F52" s="7" t="n">
        <v>46265</v>
      </c>
      <c r="G52" s="5" t="n">
        <v>46</v>
      </c>
      <c r="H52" s="5" t="n">
        <v>30</v>
      </c>
      <c r="I52" s="5" t="n">
        <v>1170</v>
      </c>
      <c r="J52" s="5" t="str">
        <f aca="false">INDEX(Restaurant_Details!$B$2:$B$9,MATCH(B52,Restaurant_Details!$A$2:$A$9,0))</f>
        <v>Domino's</v>
      </c>
      <c r="K52" s="5" t="str">
        <f aca="false">TEXT(F52,"dddd")</f>
        <v>Monday</v>
      </c>
      <c r="L52" s="5" t="n">
        <f aca="false">WEEKDAY(F52,2)</f>
        <v>1</v>
      </c>
    </row>
    <row r="53" customFormat="false" ht="15" hidden="false" customHeight="false" outlineLevel="0" collapsed="false">
      <c r="A53" s="5" t="s">
        <v>148</v>
      </c>
      <c r="B53" s="5" t="s">
        <v>116</v>
      </c>
      <c r="C53" s="5" t="s">
        <v>49</v>
      </c>
      <c r="D53" s="5" t="s">
        <v>106</v>
      </c>
      <c r="E53" s="7" t="n">
        <v>46267</v>
      </c>
      <c r="F53" s="7" t="n">
        <v>46268</v>
      </c>
      <c r="G53" s="5" t="n">
        <v>40</v>
      </c>
      <c r="H53" s="5" t="n">
        <v>45</v>
      </c>
      <c r="I53" s="5" t="n">
        <v>1150</v>
      </c>
      <c r="J53" s="5" t="str">
        <f aca="false">INDEX(Restaurant_Details!$B$2:$B$9,MATCH(B53,Restaurant_Details!$A$2:$A$9,0))</f>
        <v>Biryani Blues</v>
      </c>
      <c r="K53" s="5" t="str">
        <f aca="false">TEXT(F53,"dddd")</f>
        <v>Thursday</v>
      </c>
      <c r="L53" s="5" t="n">
        <f aca="false">WEEKDAY(F53,2)</f>
        <v>4</v>
      </c>
    </row>
    <row r="54" customFormat="false" ht="15" hidden="false" customHeight="false" outlineLevel="0" collapsed="false">
      <c r="A54" s="5" t="s">
        <v>193</v>
      </c>
      <c r="B54" s="5" t="s">
        <v>42</v>
      </c>
      <c r="C54" s="5" t="s">
        <v>105</v>
      </c>
      <c r="D54" s="5" t="s">
        <v>106</v>
      </c>
      <c r="E54" s="7" t="n">
        <v>46223</v>
      </c>
      <c r="F54" s="7" t="n">
        <v>46224</v>
      </c>
      <c r="G54" s="5" t="n">
        <v>20</v>
      </c>
      <c r="H54" s="5" t="n">
        <v>50</v>
      </c>
      <c r="I54" s="5" t="n">
        <v>650</v>
      </c>
      <c r="J54" s="5" t="str">
        <f aca="false">INDEX(Restaurant_Details!$B$2:$B$9,MATCH(B54,Restaurant_Details!$A$2:$A$9,0))</f>
        <v>Domino's</v>
      </c>
      <c r="K54" s="5" t="str">
        <f aca="false">TEXT(F54,"dddd")</f>
        <v>Tuesday</v>
      </c>
      <c r="L54" s="5" t="n">
        <f aca="false">WEEKDAY(F54,2)</f>
        <v>2</v>
      </c>
    </row>
    <row r="55" customFormat="false" ht="15" hidden="false" customHeight="false" outlineLevel="0" collapsed="false">
      <c r="A55" s="5" t="s">
        <v>190</v>
      </c>
      <c r="B55" s="5" t="s">
        <v>57</v>
      </c>
      <c r="C55" s="5" t="s">
        <v>58</v>
      </c>
      <c r="D55" s="5" t="s">
        <v>54</v>
      </c>
      <c r="E55" s="7" t="n">
        <v>46218</v>
      </c>
      <c r="F55" s="7" t="n">
        <v>46219</v>
      </c>
      <c r="G55" s="5" t="n">
        <v>21</v>
      </c>
      <c r="H55" s="5" t="n">
        <v>50</v>
      </c>
      <c r="I55" s="5" t="n">
        <v>1280</v>
      </c>
      <c r="J55" s="5" t="str">
        <f aca="false">INDEX(Restaurant_Details!$B$2:$B$9,MATCH(B55,Restaurant_Details!$A$2:$A$9,0))</f>
        <v>Pizza Hut</v>
      </c>
      <c r="K55" s="5" t="str">
        <f aca="false">TEXT(F55,"dddd")</f>
        <v>Thursday</v>
      </c>
      <c r="L55" s="5" t="n">
        <f aca="false">WEEKDAY(F55,2)</f>
        <v>4</v>
      </c>
    </row>
    <row r="56" customFormat="false" ht="15" hidden="false" customHeight="false" outlineLevel="0" collapsed="false">
      <c r="A56" s="5" t="s">
        <v>75</v>
      </c>
      <c r="B56" s="5" t="s">
        <v>42</v>
      </c>
      <c r="C56" s="5" t="s">
        <v>49</v>
      </c>
      <c r="D56" s="5" t="s">
        <v>50</v>
      </c>
      <c r="E56" s="7" t="n">
        <v>46238</v>
      </c>
      <c r="F56" s="7" t="n">
        <v>46238</v>
      </c>
      <c r="G56" s="5" t="n">
        <v>37</v>
      </c>
      <c r="H56" s="5" t="n">
        <v>50</v>
      </c>
      <c r="I56" s="5" t="n">
        <v>530</v>
      </c>
      <c r="J56" s="5" t="str">
        <f aca="false">INDEX(Restaurant_Details!$B$2:$B$9,MATCH(B56,Restaurant_Details!$A$2:$A$9,0))</f>
        <v>Domino's</v>
      </c>
      <c r="K56" s="5" t="str">
        <f aca="false">TEXT(F56,"dddd")</f>
        <v>Tuesday</v>
      </c>
      <c r="L56" s="5" t="n">
        <f aca="false">WEEKDAY(F56,2)</f>
        <v>2</v>
      </c>
    </row>
    <row r="57" customFormat="false" ht="15" hidden="false" customHeight="false" outlineLevel="0" collapsed="false">
      <c r="A57" s="5" t="s">
        <v>107</v>
      </c>
      <c r="B57" s="5" t="s">
        <v>36</v>
      </c>
      <c r="C57" s="5" t="s">
        <v>37</v>
      </c>
      <c r="D57" s="5" t="s">
        <v>223</v>
      </c>
      <c r="E57" s="7" t="n">
        <v>46242</v>
      </c>
      <c r="F57" s="7" t="n">
        <v>46243</v>
      </c>
      <c r="G57" s="5" t="n">
        <v>18</v>
      </c>
      <c r="H57" s="5" t="n">
        <v>50</v>
      </c>
      <c r="I57" s="5" t="n">
        <v>740</v>
      </c>
      <c r="J57" s="5" t="str">
        <f aca="false">INDEX(Restaurant_Details!$B$2:$B$9,MATCH(B57,Restaurant_Details!$A$2:$A$9,0))</f>
        <v>Burger King</v>
      </c>
      <c r="K57" s="5" t="str">
        <f aca="false">TEXT(F57,"dddd")</f>
        <v>Sunday</v>
      </c>
      <c r="L57" s="5" t="n">
        <f aca="false">WEEKDAY(F57,2)</f>
        <v>7</v>
      </c>
    </row>
    <row r="58" customFormat="false" ht="15" hidden="false" customHeight="false" outlineLevel="0" collapsed="false">
      <c r="A58" s="5" t="s">
        <v>182</v>
      </c>
      <c r="B58" s="5" t="s">
        <v>93</v>
      </c>
      <c r="C58" s="5" t="s">
        <v>58</v>
      </c>
      <c r="D58" s="5" t="s">
        <v>106</v>
      </c>
      <c r="E58" s="7" t="n">
        <v>46217</v>
      </c>
      <c r="F58" s="7" t="n">
        <v>46218</v>
      </c>
      <c r="G58" s="5" t="n">
        <v>49</v>
      </c>
      <c r="H58" s="5" t="n">
        <v>0</v>
      </c>
      <c r="I58" s="5" t="n">
        <v>830</v>
      </c>
      <c r="J58" s="5" t="str">
        <f aca="false">INDEX(Restaurant_Details!$B$2:$B$9,MATCH(B58,Restaurant_Details!$A$2:$A$9,0))</f>
        <v>Gwalia Sweets</v>
      </c>
      <c r="K58" s="5" t="str">
        <f aca="false">TEXT(F58,"dddd")</f>
        <v>Wednesday</v>
      </c>
      <c r="L58" s="5" t="n">
        <f aca="false">WEEKDAY(F58,2)</f>
        <v>3</v>
      </c>
    </row>
    <row r="59" customFormat="false" ht="15" hidden="false" customHeight="false" outlineLevel="0" collapsed="false">
      <c r="A59" s="5" t="s">
        <v>98</v>
      </c>
      <c r="B59" s="5" t="s">
        <v>42</v>
      </c>
      <c r="C59" s="5" t="s">
        <v>58</v>
      </c>
      <c r="D59" s="5" t="s">
        <v>61</v>
      </c>
      <c r="E59" s="7" t="n">
        <v>46263</v>
      </c>
      <c r="F59" s="7" t="n">
        <v>46264</v>
      </c>
      <c r="G59" s="5" t="n">
        <v>27</v>
      </c>
      <c r="H59" s="5" t="n">
        <v>0</v>
      </c>
      <c r="I59" s="5" t="n">
        <v>1010</v>
      </c>
      <c r="J59" s="5" t="str">
        <f aca="false">INDEX(Restaurant_Details!$B$2:$B$9,MATCH(B59,Restaurant_Details!$A$2:$A$9,0))</f>
        <v>Domino's</v>
      </c>
      <c r="K59" s="5" t="str">
        <f aca="false">TEXT(F59,"dddd")</f>
        <v>Sunday</v>
      </c>
      <c r="L59" s="5" t="n">
        <f aca="false">WEEKDAY(F59,2)</f>
        <v>7</v>
      </c>
    </row>
    <row r="60" customFormat="false" ht="15" hidden="false" customHeight="false" outlineLevel="0" collapsed="false">
      <c r="A60" s="5" t="s">
        <v>195</v>
      </c>
      <c r="B60" s="5" t="s">
        <v>57</v>
      </c>
      <c r="C60" s="5" t="s">
        <v>105</v>
      </c>
      <c r="D60" s="5" t="s">
        <v>69</v>
      </c>
      <c r="E60" s="7" t="n">
        <v>46245</v>
      </c>
      <c r="F60" s="7" t="n">
        <v>46245</v>
      </c>
      <c r="G60" s="5" t="n">
        <v>44</v>
      </c>
      <c r="H60" s="5" t="n">
        <v>0</v>
      </c>
      <c r="I60" s="5" t="n">
        <v>280</v>
      </c>
      <c r="J60" s="5" t="str">
        <f aca="false">INDEX(Restaurant_Details!$B$2:$B$9,MATCH(B60,Restaurant_Details!$A$2:$A$9,0))</f>
        <v>Pizza Hut</v>
      </c>
      <c r="K60" s="5" t="str">
        <f aca="false">TEXT(F60,"dddd")</f>
        <v>Tuesday</v>
      </c>
      <c r="L60" s="5" t="n">
        <f aca="false">WEEKDAY(F60,2)</f>
        <v>2</v>
      </c>
    </row>
    <row r="61" customFormat="false" ht="15" hidden="false" customHeight="false" outlineLevel="0" collapsed="false">
      <c r="A61" s="5" t="s">
        <v>161</v>
      </c>
      <c r="B61" s="5" t="s">
        <v>65</v>
      </c>
      <c r="C61" s="5" t="s">
        <v>105</v>
      </c>
      <c r="D61" s="5" t="s">
        <v>61</v>
      </c>
      <c r="E61" s="7" t="n">
        <v>46252</v>
      </c>
      <c r="F61" s="7" t="n">
        <v>46252</v>
      </c>
      <c r="G61" s="5" t="n">
        <v>34</v>
      </c>
      <c r="H61" s="5" t="n">
        <v>45</v>
      </c>
      <c r="I61" s="5" t="n">
        <v>450</v>
      </c>
      <c r="J61" s="5" t="str">
        <f aca="false">INDEX(Restaurant_Details!$B$2:$B$9,MATCH(B61,Restaurant_Details!$A$2:$A$9,0))</f>
        <v>KFC</v>
      </c>
      <c r="K61" s="5" t="str">
        <f aca="false">TEXT(F61,"dddd")</f>
        <v>Tuesday</v>
      </c>
      <c r="L61" s="5" t="n">
        <f aca="false">WEEKDAY(F61,2)</f>
        <v>2</v>
      </c>
    </row>
    <row r="62" customFormat="false" ht="15" hidden="false" customHeight="false" outlineLevel="0" collapsed="false">
      <c r="A62" s="5" t="s">
        <v>137</v>
      </c>
      <c r="B62" s="5" t="s">
        <v>57</v>
      </c>
      <c r="C62" s="5" t="s">
        <v>58</v>
      </c>
      <c r="D62" s="5" t="s">
        <v>69</v>
      </c>
      <c r="E62" s="7" t="n">
        <v>46276</v>
      </c>
      <c r="F62" s="7" t="n">
        <v>46277</v>
      </c>
      <c r="G62" s="5" t="n">
        <v>32</v>
      </c>
      <c r="H62" s="5" t="n">
        <v>50</v>
      </c>
      <c r="I62" s="5" t="n">
        <v>550</v>
      </c>
      <c r="J62" s="5" t="str">
        <f aca="false">INDEX(Restaurant_Details!$B$2:$B$9,MATCH(B62,Restaurant_Details!$A$2:$A$9,0))</f>
        <v>Pizza Hut</v>
      </c>
      <c r="K62" s="5" t="str">
        <f aca="false">TEXT(F62,"dddd")</f>
        <v>Saturday</v>
      </c>
      <c r="L62" s="5" t="n">
        <f aca="false">WEEKDAY(F62,2)</f>
        <v>6</v>
      </c>
    </row>
    <row r="63" customFormat="false" ht="15" hidden="false" customHeight="false" outlineLevel="0" collapsed="false">
      <c r="A63" s="5" t="s">
        <v>125</v>
      </c>
      <c r="B63" s="5" t="s">
        <v>116</v>
      </c>
      <c r="C63" s="5" t="s">
        <v>105</v>
      </c>
      <c r="D63" s="5" t="s">
        <v>223</v>
      </c>
      <c r="E63" s="7" t="n">
        <v>46264</v>
      </c>
      <c r="F63" s="7" t="n">
        <v>46265</v>
      </c>
      <c r="G63" s="5" t="n">
        <v>31</v>
      </c>
      <c r="H63" s="5" t="n">
        <v>45</v>
      </c>
      <c r="I63" s="5" t="n">
        <v>740</v>
      </c>
      <c r="J63" s="5" t="str">
        <f aca="false">INDEX(Restaurant_Details!$B$2:$B$9,MATCH(B63,Restaurant_Details!$A$2:$A$9,0))</f>
        <v>Biryani Blues</v>
      </c>
      <c r="K63" s="5" t="str">
        <f aca="false">TEXT(F63,"dddd")</f>
        <v>Monday</v>
      </c>
      <c r="L63" s="5" t="n">
        <f aca="false">WEEKDAY(F63,2)</f>
        <v>1</v>
      </c>
    </row>
    <row r="64" customFormat="false" ht="15" hidden="false" customHeight="false" outlineLevel="0" collapsed="false">
      <c r="A64" s="5" t="s">
        <v>197</v>
      </c>
      <c r="B64" s="5" t="s">
        <v>53</v>
      </c>
      <c r="C64" s="5" t="s">
        <v>43</v>
      </c>
      <c r="D64" s="5" t="s">
        <v>38</v>
      </c>
      <c r="E64" s="7" t="n">
        <v>46230</v>
      </c>
      <c r="F64" s="7" t="n">
        <v>46231</v>
      </c>
      <c r="G64" s="5" t="n">
        <v>21</v>
      </c>
      <c r="H64" s="5" t="n">
        <v>25</v>
      </c>
      <c r="I64" s="5" t="n">
        <v>1370</v>
      </c>
      <c r="J64" s="5" t="str">
        <f aca="false">INDEX(Restaurant_Details!$B$2:$B$9,MATCH(B64,Restaurant_Details!$A$2:$A$9,0))</f>
        <v>Wok Express</v>
      </c>
      <c r="K64" s="5" t="str">
        <f aca="false">TEXT(F64,"dddd")</f>
        <v>Tuesday</v>
      </c>
      <c r="L64" s="5" t="n">
        <f aca="false">WEEKDAY(F64,2)</f>
        <v>2</v>
      </c>
    </row>
    <row r="65" customFormat="false" ht="15" hidden="false" customHeight="false" outlineLevel="0" collapsed="false">
      <c r="A65" s="5" t="s">
        <v>45</v>
      </c>
      <c r="B65" s="5" t="s">
        <v>36</v>
      </c>
      <c r="C65" s="5" t="s">
        <v>43</v>
      </c>
      <c r="D65" s="5" t="s">
        <v>223</v>
      </c>
      <c r="E65" s="7" t="n">
        <v>46219</v>
      </c>
      <c r="F65" s="7" t="n">
        <v>46219</v>
      </c>
      <c r="G65" s="5" t="n">
        <v>34</v>
      </c>
      <c r="H65" s="5" t="n">
        <v>50</v>
      </c>
      <c r="I65" s="5" t="n">
        <v>610</v>
      </c>
      <c r="J65" s="5" t="str">
        <f aca="false">INDEX(Restaurant_Details!$B$2:$B$9,MATCH(B65,Restaurant_Details!$A$2:$A$9,0))</f>
        <v>Burger King</v>
      </c>
      <c r="K65" s="5" t="str">
        <f aca="false">TEXT(F65,"dddd")</f>
        <v>Thursday</v>
      </c>
      <c r="L65" s="5" t="n">
        <f aca="false">WEEKDAY(F65,2)</f>
        <v>4</v>
      </c>
    </row>
    <row r="66" customFormat="false" ht="15" hidden="false" customHeight="false" outlineLevel="0" collapsed="false">
      <c r="A66" s="5" t="s">
        <v>204</v>
      </c>
      <c r="B66" s="5" t="s">
        <v>36</v>
      </c>
      <c r="C66" s="5" t="s">
        <v>105</v>
      </c>
      <c r="D66" s="5" t="s">
        <v>106</v>
      </c>
      <c r="E66" s="7" t="n">
        <v>46258</v>
      </c>
      <c r="F66" s="7" t="n">
        <v>46259</v>
      </c>
      <c r="G66" s="5" t="n">
        <v>19</v>
      </c>
      <c r="H66" s="5" t="n">
        <v>50</v>
      </c>
      <c r="I66" s="5" t="n">
        <v>840</v>
      </c>
      <c r="J66" s="5" t="str">
        <f aca="false">INDEX(Restaurant_Details!$B$2:$B$9,MATCH(B66,Restaurant_Details!$A$2:$A$9,0))</f>
        <v>Burger King</v>
      </c>
      <c r="K66" s="5" t="str">
        <f aca="false">TEXT(F66,"dddd")</f>
        <v>Tuesday</v>
      </c>
      <c r="L66" s="5" t="n">
        <f aca="false">WEEKDAY(F66,2)</f>
        <v>2</v>
      </c>
    </row>
    <row r="67" customFormat="false" ht="15" hidden="false" customHeight="false" outlineLevel="0" collapsed="false">
      <c r="A67" s="5" t="s">
        <v>60</v>
      </c>
      <c r="B67" s="5" t="s">
        <v>57</v>
      </c>
      <c r="C67" s="5" t="s">
        <v>43</v>
      </c>
      <c r="D67" s="5" t="s">
        <v>61</v>
      </c>
      <c r="E67" s="7" t="n">
        <v>46245</v>
      </c>
      <c r="F67" s="7" t="n">
        <v>46246</v>
      </c>
      <c r="G67" s="5" t="n">
        <v>38</v>
      </c>
      <c r="H67" s="5" t="n">
        <v>45</v>
      </c>
      <c r="I67" s="5" t="n">
        <v>450</v>
      </c>
      <c r="J67" s="5" t="str">
        <f aca="false">INDEX(Restaurant_Details!$B$2:$B$9,MATCH(B67,Restaurant_Details!$A$2:$A$9,0))</f>
        <v>Pizza Hut</v>
      </c>
      <c r="K67" s="5" t="str">
        <f aca="false">TEXT(F67,"dddd")</f>
        <v>Wednesday</v>
      </c>
      <c r="L67" s="5" t="n">
        <f aca="false">WEEKDAY(F67,2)</f>
        <v>3</v>
      </c>
    </row>
    <row r="68" customFormat="false" ht="15" hidden="false" customHeight="false" outlineLevel="0" collapsed="false">
      <c r="A68" s="5" t="s">
        <v>64</v>
      </c>
      <c r="B68" s="5" t="s">
        <v>65</v>
      </c>
      <c r="C68" s="5" t="s">
        <v>49</v>
      </c>
      <c r="D68" s="5" t="s">
        <v>223</v>
      </c>
      <c r="E68" s="7" t="n">
        <v>46238</v>
      </c>
      <c r="F68" s="7" t="n">
        <v>46239</v>
      </c>
      <c r="G68" s="5" t="n">
        <v>26</v>
      </c>
      <c r="H68" s="5" t="n">
        <v>40</v>
      </c>
      <c r="I68" s="5" t="n">
        <v>790</v>
      </c>
      <c r="J68" s="5" t="str">
        <f aca="false">INDEX(Restaurant_Details!$B$2:$B$9,MATCH(B68,Restaurant_Details!$A$2:$A$9,0))</f>
        <v>KFC</v>
      </c>
      <c r="K68" s="5" t="str">
        <f aca="false">TEXT(F68,"dddd")</f>
        <v>Wednesday</v>
      </c>
      <c r="L68" s="5" t="n">
        <f aca="false">WEEKDAY(F68,2)</f>
        <v>3</v>
      </c>
    </row>
    <row r="69" customFormat="false" ht="15" hidden="false" customHeight="false" outlineLevel="0" collapsed="false">
      <c r="A69" s="5" t="s">
        <v>173</v>
      </c>
      <c r="B69" s="5" t="s">
        <v>36</v>
      </c>
      <c r="C69" s="5" t="s">
        <v>49</v>
      </c>
      <c r="D69" s="5" t="s">
        <v>54</v>
      </c>
      <c r="E69" s="7" t="n">
        <v>46223</v>
      </c>
      <c r="F69" s="7" t="n">
        <v>46224</v>
      </c>
      <c r="G69" s="5" t="n">
        <v>43</v>
      </c>
      <c r="H69" s="5" t="n">
        <v>0</v>
      </c>
      <c r="I69" s="5" t="n">
        <v>500</v>
      </c>
      <c r="J69" s="5" t="str">
        <f aca="false">INDEX(Restaurant_Details!$B$2:$B$9,MATCH(B69,Restaurant_Details!$A$2:$A$9,0))</f>
        <v>Burger King</v>
      </c>
      <c r="K69" s="5" t="str">
        <f aca="false">TEXT(F69,"dddd")</f>
        <v>Tuesday</v>
      </c>
      <c r="L69" s="5" t="n">
        <f aca="false">WEEKDAY(F69,2)</f>
        <v>2</v>
      </c>
    </row>
    <row r="70" customFormat="false" ht="15" hidden="false" customHeight="false" outlineLevel="0" collapsed="false">
      <c r="A70" s="5" t="s">
        <v>56</v>
      </c>
      <c r="B70" s="5" t="s">
        <v>57</v>
      </c>
      <c r="C70" s="5" t="s">
        <v>58</v>
      </c>
      <c r="D70" s="5" t="s">
        <v>223</v>
      </c>
      <c r="E70" s="7" t="n">
        <v>46228</v>
      </c>
      <c r="F70" s="7" t="n">
        <v>46228</v>
      </c>
      <c r="G70" s="5" t="n">
        <v>47</v>
      </c>
      <c r="H70" s="5" t="n">
        <v>30</v>
      </c>
      <c r="I70" s="5" t="n">
        <v>340</v>
      </c>
      <c r="J70" s="5" t="str">
        <f aca="false">INDEX(Restaurant_Details!$B$2:$B$9,MATCH(B70,Restaurant_Details!$A$2:$A$9,0))</f>
        <v>Pizza Hut</v>
      </c>
      <c r="K70" s="5" t="str">
        <f aca="false">TEXT(F70,"dddd")</f>
        <v>Saturday</v>
      </c>
      <c r="L70" s="5" t="n">
        <f aca="false">WEEKDAY(F70,2)</f>
        <v>6</v>
      </c>
    </row>
    <row r="71" customFormat="false" ht="15" hidden="false" customHeight="false" outlineLevel="0" collapsed="false">
      <c r="A71" s="5" t="s">
        <v>177</v>
      </c>
      <c r="B71" s="5" t="s">
        <v>53</v>
      </c>
      <c r="C71" s="5" t="s">
        <v>58</v>
      </c>
      <c r="D71" s="5" t="s">
        <v>61</v>
      </c>
      <c r="E71" s="7" t="n">
        <v>46264</v>
      </c>
      <c r="F71" s="7" t="n">
        <v>46264</v>
      </c>
      <c r="G71" s="5" t="n">
        <v>46</v>
      </c>
      <c r="H71" s="5" t="n">
        <v>40</v>
      </c>
      <c r="I71" s="5" t="n">
        <v>260</v>
      </c>
      <c r="J71" s="5" t="str">
        <f aca="false">INDEX(Restaurant_Details!$B$2:$B$9,MATCH(B71,Restaurant_Details!$A$2:$A$9,0))</f>
        <v>Wok Express</v>
      </c>
      <c r="K71" s="5" t="str">
        <f aca="false">TEXT(F71,"dddd")</f>
        <v>Sunday</v>
      </c>
      <c r="L71" s="5" t="n">
        <f aca="false">WEEKDAY(F71,2)</f>
        <v>7</v>
      </c>
    </row>
    <row r="72" customFormat="false" ht="15" hidden="false" customHeight="false" outlineLevel="0" collapsed="false">
      <c r="A72" s="5" t="s">
        <v>144</v>
      </c>
      <c r="B72" s="5" t="s">
        <v>116</v>
      </c>
      <c r="C72" s="5" t="s">
        <v>37</v>
      </c>
      <c r="D72" s="5" t="s">
        <v>106</v>
      </c>
      <c r="E72" s="7" t="n">
        <v>46226</v>
      </c>
      <c r="F72" s="7" t="n">
        <v>46226</v>
      </c>
      <c r="G72" s="5" t="n">
        <v>34</v>
      </c>
      <c r="H72" s="5" t="n">
        <v>45</v>
      </c>
      <c r="I72" s="5" t="n">
        <v>1070</v>
      </c>
      <c r="J72" s="5" t="str">
        <f aca="false">INDEX(Restaurant_Details!$B$2:$B$9,MATCH(B72,Restaurant_Details!$A$2:$A$9,0))</f>
        <v>Biryani Blues</v>
      </c>
      <c r="K72" s="5" t="str">
        <f aca="false">TEXT(F72,"dddd")</f>
        <v>Thursday</v>
      </c>
      <c r="L72" s="5" t="n">
        <f aca="false">WEEKDAY(F72,2)</f>
        <v>4</v>
      </c>
    </row>
    <row r="73" customFormat="false" ht="15" hidden="false" customHeight="false" outlineLevel="0" collapsed="false">
      <c r="A73" s="5" t="s">
        <v>92</v>
      </c>
      <c r="B73" s="5" t="s">
        <v>93</v>
      </c>
      <c r="C73" s="5" t="s">
        <v>37</v>
      </c>
      <c r="D73" s="5" t="s">
        <v>54</v>
      </c>
      <c r="E73" s="7" t="n">
        <v>46278</v>
      </c>
      <c r="F73" s="7" t="n">
        <v>46279</v>
      </c>
      <c r="G73" s="5" t="n">
        <v>18</v>
      </c>
      <c r="H73" s="5" t="n">
        <v>40</v>
      </c>
      <c r="I73" s="5" t="n">
        <v>1170</v>
      </c>
      <c r="J73" s="5" t="str">
        <f aca="false">INDEX(Restaurant_Details!$B$2:$B$9,MATCH(B73,Restaurant_Details!$A$2:$A$9,0))</f>
        <v>Gwalia Sweets</v>
      </c>
      <c r="K73" s="5" t="str">
        <f aca="false">TEXT(F73,"dddd")</f>
        <v>Monday</v>
      </c>
      <c r="L73" s="5" t="n">
        <f aca="false">WEEKDAY(F73,2)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3" t="s">
        <v>27</v>
      </c>
      <c r="B1" s="3" t="s">
        <v>220</v>
      </c>
      <c r="C1" s="3" t="s">
        <v>224</v>
      </c>
    </row>
    <row r="2" customFormat="false" ht="15" hidden="false" customHeight="false" outlineLevel="0" collapsed="false">
      <c r="A2" s="5" t="s">
        <v>36</v>
      </c>
      <c r="B2" s="5" t="s">
        <v>225</v>
      </c>
      <c r="C2" s="5" t="s">
        <v>226</v>
      </c>
    </row>
    <row r="3" customFormat="false" ht="15" hidden="false" customHeight="false" outlineLevel="0" collapsed="false">
      <c r="A3" s="5" t="s">
        <v>42</v>
      </c>
      <c r="B3" s="5" t="s">
        <v>227</v>
      </c>
      <c r="C3" s="5" t="s">
        <v>228</v>
      </c>
    </row>
    <row r="4" customFormat="false" ht="15" hidden="false" customHeight="false" outlineLevel="0" collapsed="false">
      <c r="A4" s="5" t="s">
        <v>57</v>
      </c>
      <c r="B4" s="5" t="s">
        <v>229</v>
      </c>
      <c r="C4" s="5" t="s">
        <v>228</v>
      </c>
    </row>
    <row r="5" customFormat="false" ht="15" hidden="false" customHeight="false" outlineLevel="0" collapsed="false">
      <c r="A5" s="5" t="s">
        <v>116</v>
      </c>
      <c r="B5" s="5" t="s">
        <v>230</v>
      </c>
      <c r="C5" s="5" t="s">
        <v>231</v>
      </c>
    </row>
    <row r="6" customFormat="false" ht="15" hidden="false" customHeight="false" outlineLevel="0" collapsed="false">
      <c r="A6" s="5" t="s">
        <v>48</v>
      </c>
      <c r="B6" s="5" t="s">
        <v>232</v>
      </c>
      <c r="C6" s="5" t="s">
        <v>231</v>
      </c>
    </row>
    <row r="7" customFormat="false" ht="15" hidden="false" customHeight="false" outlineLevel="0" collapsed="false">
      <c r="A7" s="5" t="s">
        <v>93</v>
      </c>
      <c r="B7" s="5" t="s">
        <v>233</v>
      </c>
      <c r="C7" s="5" t="s">
        <v>234</v>
      </c>
    </row>
    <row r="8" customFormat="false" ht="15" hidden="false" customHeight="false" outlineLevel="0" collapsed="false">
      <c r="A8" s="5" t="s">
        <v>53</v>
      </c>
      <c r="B8" s="5" t="s">
        <v>235</v>
      </c>
      <c r="C8" s="5" t="s">
        <v>236</v>
      </c>
    </row>
    <row r="9" customFormat="false" ht="15" hidden="false" customHeight="false" outlineLevel="0" collapsed="false">
      <c r="A9" s="5" t="s">
        <v>65</v>
      </c>
      <c r="B9" s="5" t="s">
        <v>237</v>
      </c>
      <c r="C9" s="5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45"/>
  </cols>
  <sheetData>
    <row r="1" customFormat="false" ht="15" hidden="false" customHeight="false" outlineLevel="0" collapsed="false">
      <c r="A1" s="3" t="s">
        <v>238</v>
      </c>
      <c r="B1" s="3" t="s">
        <v>239</v>
      </c>
      <c r="C1" s="3" t="s">
        <v>240</v>
      </c>
    </row>
    <row r="2" customFormat="false" ht="15" hidden="false" customHeight="false" outlineLevel="0" collapsed="false">
      <c r="A2" s="5" t="s">
        <v>241</v>
      </c>
      <c r="B2" s="5" t="s">
        <v>242</v>
      </c>
      <c r="C2" s="5" t="s">
        <v>243</v>
      </c>
    </row>
    <row r="3" customFormat="false" ht="15" hidden="false" customHeight="false" outlineLevel="0" collapsed="false">
      <c r="A3" s="5" t="s">
        <v>244</v>
      </c>
      <c r="B3" s="5" t="s">
        <v>245</v>
      </c>
      <c r="C3" s="5" t="s">
        <v>246</v>
      </c>
    </row>
    <row r="4" customFormat="false" ht="15" hidden="false" customHeight="false" outlineLevel="0" collapsed="false">
      <c r="A4" s="5" t="s">
        <v>247</v>
      </c>
      <c r="B4" s="5" t="s">
        <v>248</v>
      </c>
      <c r="C4" s="5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3" t="s">
        <v>28</v>
      </c>
      <c r="B1" s="3" t="s">
        <v>250</v>
      </c>
      <c r="C1" s="3" t="s">
        <v>251</v>
      </c>
    </row>
    <row r="2" customFormat="false" ht="15" hidden="false" customHeight="false" outlineLevel="0" collapsed="false">
      <c r="A2" s="5" t="s">
        <v>49</v>
      </c>
      <c r="B2" s="5" t="n">
        <f aca="false">COUNTIFS(Orders_Clean!$C$2:$C$73,A2)</f>
        <v>9</v>
      </c>
      <c r="C2" s="8" t="n">
        <f aca="false">SUMIFS(Orders_Clean!$H$2:$H$73,Orders_Clean!$C$2:$C$73,A2)</f>
        <v>240</v>
      </c>
    </row>
    <row r="3" customFormat="false" ht="15" hidden="false" customHeight="false" outlineLevel="0" collapsed="false">
      <c r="A3" s="5" t="s">
        <v>84</v>
      </c>
      <c r="B3" s="5" t="n">
        <f aca="false">COUNTIFS(Orders_Clean!$C$2:$C$73,A3)</f>
        <v>5</v>
      </c>
      <c r="C3" s="8" t="n">
        <f aca="false">SUMIFS(Orders_Clean!$H$2:$H$73,Orders_Clean!$C$2:$C$73,A3)</f>
        <v>170</v>
      </c>
    </row>
    <row r="4" customFormat="false" ht="15" hidden="false" customHeight="false" outlineLevel="0" collapsed="false">
      <c r="A4" s="5" t="s">
        <v>43</v>
      </c>
      <c r="B4" s="5" t="n">
        <f aca="false">COUNTIFS(Orders_Clean!$C$2:$C$73,A4)</f>
        <v>13</v>
      </c>
      <c r="C4" s="8" t="n">
        <f aca="false">SUMIFS(Orders_Clean!$H$2:$H$73,Orders_Clean!$C$2:$C$73,A4)</f>
        <v>480</v>
      </c>
    </row>
    <row r="5" customFormat="false" ht="15" hidden="false" customHeight="false" outlineLevel="0" collapsed="false">
      <c r="A5" s="5" t="s">
        <v>37</v>
      </c>
      <c r="B5" s="5" t="n">
        <f aca="false">COUNTIFS(Orders_Clean!$C$2:$C$73,A5)</f>
        <v>16</v>
      </c>
      <c r="C5" s="8" t="n">
        <f aca="false">SUMIFS(Orders_Clean!$H$2:$H$73,Orders_Clean!$C$2:$C$73,A5)</f>
        <v>505</v>
      </c>
    </row>
    <row r="6" customFormat="false" ht="15" hidden="false" customHeight="false" outlineLevel="0" collapsed="false">
      <c r="A6" s="5" t="s">
        <v>105</v>
      </c>
      <c r="B6" s="5" t="n">
        <f aca="false">COUNTIFS(Orders_Clean!$C$2:$C$73,A6)</f>
        <v>14</v>
      </c>
      <c r="C6" s="8" t="n">
        <f aca="false">SUMIFS(Orders_Clean!$H$2:$H$73,Orders_Clean!$C$2:$C$73,A6)</f>
        <v>445</v>
      </c>
    </row>
    <row r="7" customFormat="false" ht="15" hidden="false" customHeight="false" outlineLevel="0" collapsed="false">
      <c r="A7" s="5" t="s">
        <v>58</v>
      </c>
      <c r="B7" s="5" t="n">
        <f aca="false">COUNTIFS(Orders_Clean!$C$2:$C$73,A7)</f>
        <v>15</v>
      </c>
      <c r="C7" s="8" t="n">
        <f aca="false">SUMIFS(Orders_Clean!$H$2:$H$73,Orders_Clean!$C$2:$C$73,A7)</f>
        <v>455</v>
      </c>
    </row>
    <row r="8" customFormat="false" ht="15" hidden="false" customHeight="false" outlineLevel="0" collapsed="false">
      <c r="A8" s="9" t="s">
        <v>252</v>
      </c>
      <c r="B8" s="10" t="n">
        <f aca="false">SUM(B2:B7)</f>
        <v>72</v>
      </c>
      <c r="C8" s="11" t="n">
        <f aca="false">SUM(C2:C7)</f>
        <v>2295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2" min="2" style="0" width="13"/>
  </cols>
  <sheetData>
    <row r="1" customFormat="false" ht="15" hidden="false" customHeight="true" outlineLevel="0" collapsed="false">
      <c r="B1" s="12" t="s">
        <v>253</v>
      </c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5" hidden="false" customHeight="false" outlineLevel="0" collapsed="false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customFormat="false" ht="15" hidden="false" customHeight="false" outlineLevel="0" collapsed="false">
      <c r="B3" s="9" t="s">
        <v>254</v>
      </c>
      <c r="C3" s="13" t="s">
        <v>255</v>
      </c>
      <c r="D3" s="14" t="str">
        <f aca="false">IF(C3="All Cities","*",C3)</f>
        <v>*</v>
      </c>
    </row>
    <row r="4" customFormat="false" ht="15" hidden="false" customHeight="true" outlineLevel="0" collapsed="false">
      <c r="B4" s="15" t="s">
        <v>256</v>
      </c>
      <c r="C4" s="15"/>
      <c r="D4" s="15"/>
      <c r="F4" s="16" t="s">
        <v>257</v>
      </c>
      <c r="G4" s="16"/>
      <c r="H4" s="16"/>
      <c r="J4" s="17" t="s">
        <v>258</v>
      </c>
      <c r="K4" s="17"/>
      <c r="L4" s="17"/>
    </row>
    <row r="5" customFormat="false" ht="30" hidden="false" customHeight="true" outlineLevel="0" collapsed="false">
      <c r="B5" s="18" t="n">
        <f aca="false">COUNTIFS(Orders_Clean!$C$2:$C$73,$D$3)</f>
        <v>72</v>
      </c>
      <c r="C5" s="18"/>
      <c r="D5" s="18"/>
      <c r="F5" s="19" t="n">
        <f aca="false">IFERROR(AVERAGEIFS(Orders_Clean!$G$2:$G$73,Orders_Clean!$C$2:$C$73,$D$3),0)</f>
        <v>37.9722222222222</v>
      </c>
      <c r="G5" s="19"/>
      <c r="H5" s="19"/>
      <c r="J5" s="20" t="n">
        <f aca="false">SUMIFS(Orders_Clean!$H$2:$H$73,Orders_Clean!$C$2:$C$73,$D$3)</f>
        <v>2295</v>
      </c>
      <c r="K5" s="20"/>
      <c r="L5" s="20"/>
    </row>
    <row r="7" customFormat="false" ht="15" hidden="false" customHeight="true" outlineLevel="0" collapsed="false">
      <c r="B7" s="21" t="s">
        <v>259</v>
      </c>
      <c r="C7" s="21"/>
      <c r="D7" s="21"/>
      <c r="E7" s="21"/>
    </row>
    <row r="8" customFormat="false" ht="15" hidden="false" customHeight="false" outlineLevel="0" collapsed="false">
      <c r="B8" s="22" t="str">
        <f aca="false">INDEX($B$30:$B$37,MATCH(LARGE($D$30:$D$37,1),$D$30:$D$37,0))</f>
        <v>Pizza Hut</v>
      </c>
      <c r="C8" s="22"/>
      <c r="D8" s="22"/>
      <c r="E8" s="23" t="n">
        <f aca="false">INDEX($C$30:$C$37,MATCH(LARGE($D$30:$D$37,1),$D$30:$D$37,0))</f>
        <v>13</v>
      </c>
    </row>
    <row r="9" customFormat="false" ht="15" hidden="false" customHeight="false" outlineLevel="0" collapsed="false">
      <c r="B9" s="22" t="str">
        <f aca="false">INDEX($B$30:$B$37,MATCH(LARGE($D$30:$D$37,2),$D$30:$D$37,0))</f>
        <v>Domino's</v>
      </c>
      <c r="C9" s="22"/>
      <c r="D9" s="22"/>
      <c r="E9" s="23" t="n">
        <f aca="false">INDEX($C$30:$C$37,MATCH(LARGE($D$30:$D$37,2),$D$30:$D$37,0))</f>
        <v>11</v>
      </c>
    </row>
    <row r="10" customFormat="false" ht="15" hidden="false" customHeight="false" outlineLevel="0" collapsed="false">
      <c r="B10" s="22" t="str">
        <f aca="false">INDEX($B$30:$B$37,MATCH(LARGE($D$30:$D$37,3),$D$30:$D$37,0))</f>
        <v>Biryani Blues</v>
      </c>
      <c r="C10" s="22"/>
      <c r="D10" s="22"/>
      <c r="E10" s="23" t="n">
        <f aca="false">INDEX($C$30:$C$37,MATCH(LARGE($D$30:$D$37,3),$D$30:$D$37,0))</f>
        <v>10</v>
      </c>
    </row>
    <row r="13" customFormat="false" ht="15" hidden="false" customHeight="false" outlineLevel="0" collapsed="false">
      <c r="B13" s="2" t="s">
        <v>260</v>
      </c>
    </row>
    <row r="28" customFormat="false" ht="15" hidden="false" customHeight="false" outlineLevel="0" collapsed="false">
      <c r="B28" s="9" t="s">
        <v>261</v>
      </c>
    </row>
    <row r="29" customFormat="false" ht="15" hidden="false" customHeight="false" outlineLevel="0" collapsed="false">
      <c r="B29" s="3" t="s">
        <v>262</v>
      </c>
      <c r="C29" s="3" t="s">
        <v>263</v>
      </c>
      <c r="D29" s="3" t="s">
        <v>264</v>
      </c>
    </row>
    <row r="30" customFormat="false" ht="15" hidden="false" customHeight="false" outlineLevel="0" collapsed="false">
      <c r="B30" s="5" t="s">
        <v>225</v>
      </c>
      <c r="C30" s="5" t="n">
        <f aca="false">COUNTIFS(Orders_Clean!$J$2:$J$73,B30,Orders_Clean!$C$2:$C$73,$D$3)</f>
        <v>9</v>
      </c>
      <c r="D30" s="24" t="n">
        <f aca="false">C30+(9/1000)</f>
        <v>9.009</v>
      </c>
    </row>
    <row r="31" customFormat="false" ht="15" hidden="false" customHeight="false" outlineLevel="0" collapsed="false">
      <c r="B31" s="5" t="s">
        <v>227</v>
      </c>
      <c r="C31" s="5" t="n">
        <f aca="false">COUNTIFS(Orders_Clean!$J$2:$J$73,B31,Orders_Clean!$C$2:$C$73,$D$3)</f>
        <v>11</v>
      </c>
      <c r="D31" s="24" t="n">
        <f aca="false">C31+(8/1000)</f>
        <v>11.008</v>
      </c>
    </row>
    <row r="32" customFormat="false" ht="15" hidden="false" customHeight="false" outlineLevel="0" collapsed="false">
      <c r="B32" s="5" t="s">
        <v>229</v>
      </c>
      <c r="C32" s="5" t="n">
        <f aca="false">COUNTIFS(Orders_Clean!$J$2:$J$73,B32,Orders_Clean!$C$2:$C$73,$D$3)</f>
        <v>13</v>
      </c>
      <c r="D32" s="24" t="n">
        <f aca="false">C32+(7/1000)</f>
        <v>13.007</v>
      </c>
    </row>
    <row r="33" customFormat="false" ht="15" hidden="false" customHeight="false" outlineLevel="0" collapsed="false">
      <c r="B33" s="5" t="s">
        <v>230</v>
      </c>
      <c r="C33" s="5" t="n">
        <f aca="false">COUNTIFS(Orders_Clean!$J$2:$J$73,B33,Orders_Clean!$C$2:$C$73,$D$3)</f>
        <v>10</v>
      </c>
      <c r="D33" s="24" t="n">
        <f aca="false">C33+(6/1000)</f>
        <v>10.006</v>
      </c>
    </row>
    <row r="34" customFormat="false" ht="15" hidden="false" customHeight="false" outlineLevel="0" collapsed="false">
      <c r="B34" s="5" t="s">
        <v>232</v>
      </c>
      <c r="C34" s="5" t="n">
        <f aca="false">COUNTIFS(Orders_Clean!$J$2:$J$73,B34,Orders_Clean!$C$2:$C$73,$D$3)</f>
        <v>6</v>
      </c>
      <c r="D34" s="24" t="n">
        <f aca="false">C34+(5/1000)</f>
        <v>6.005</v>
      </c>
    </row>
    <row r="35" customFormat="false" ht="15" hidden="false" customHeight="false" outlineLevel="0" collapsed="false">
      <c r="B35" s="5" t="s">
        <v>233</v>
      </c>
      <c r="C35" s="5" t="n">
        <f aca="false">COUNTIFS(Orders_Clean!$J$2:$J$73,B35,Orders_Clean!$C$2:$C$73,$D$3)</f>
        <v>7</v>
      </c>
      <c r="D35" s="24" t="n">
        <f aca="false">C35+(4/1000)</f>
        <v>7.004</v>
      </c>
    </row>
    <row r="36" customFormat="false" ht="15" hidden="false" customHeight="false" outlineLevel="0" collapsed="false">
      <c r="B36" s="5" t="s">
        <v>235</v>
      </c>
      <c r="C36" s="5" t="n">
        <f aca="false">COUNTIFS(Orders_Clean!$J$2:$J$73,B36,Orders_Clean!$C$2:$C$73,$D$3)</f>
        <v>9</v>
      </c>
      <c r="D36" s="24" t="n">
        <f aca="false">C36+(3/1000)</f>
        <v>9.003</v>
      </c>
    </row>
    <row r="37" customFormat="false" ht="15" hidden="false" customHeight="false" outlineLevel="0" collapsed="false">
      <c r="B37" s="5" t="s">
        <v>237</v>
      </c>
      <c r="C37" s="5" t="n">
        <f aca="false">COUNTIFS(Orders_Clean!$J$2:$J$73,B37,Orders_Clean!$C$2:$C$73,$D$3)</f>
        <v>7</v>
      </c>
      <c r="D37" s="24" t="n">
        <f aca="false">C37+(2/1000)</f>
        <v>7.002</v>
      </c>
    </row>
  </sheetData>
  <mergeCells count="11">
    <mergeCell ref="B1:L2"/>
    <mergeCell ref="B4:D4"/>
    <mergeCell ref="F4:H4"/>
    <mergeCell ref="J4:L4"/>
    <mergeCell ref="B5:D5"/>
    <mergeCell ref="F5:H5"/>
    <mergeCell ref="J5:L5"/>
    <mergeCell ref="B7:E7"/>
    <mergeCell ref="B8:D8"/>
    <mergeCell ref="B9:D9"/>
    <mergeCell ref="B10:D10"/>
  </mergeCells>
  <dataValidations count="1">
    <dataValidation allowBlank="false" errorStyle="stop" operator="between" showDropDown="false" showErrorMessage="false" showInputMessage="false" sqref="C3" type="list">
      <formula1>"All Cities,Ahmedabad,Surat,Vadodara,Rajkot,Pune,Mumbai"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25" t="s">
        <v>265</v>
      </c>
    </row>
    <row r="4" customFormat="false" ht="12.8" hidden="false" customHeight="false" outlineLevel="0" collapsed="false">
      <c r="A4" s="26" t="s">
        <v>28</v>
      </c>
      <c r="B4" s="27" t="s">
        <v>266</v>
      </c>
      <c r="C4" s="28"/>
    </row>
    <row r="5" customFormat="false" ht="12.8" hidden="false" customHeight="false" outlineLevel="0" collapsed="false">
      <c r="A5" s="29" t="s">
        <v>49</v>
      </c>
      <c r="B5" s="30" t="s">
        <v>267</v>
      </c>
      <c r="C5" s="31" t="n">
        <v>9</v>
      </c>
    </row>
    <row r="6" customFormat="false" ht="12.8" hidden="false" customHeight="false" outlineLevel="0" collapsed="false">
      <c r="A6" s="32"/>
      <c r="B6" s="33" t="s">
        <v>268</v>
      </c>
      <c r="C6" s="34" t="n">
        <v>240</v>
      </c>
    </row>
    <row r="7" customFormat="false" ht="12.8" hidden="false" customHeight="false" outlineLevel="0" collapsed="false">
      <c r="A7" s="29" t="s">
        <v>58</v>
      </c>
      <c r="B7" s="30" t="s">
        <v>267</v>
      </c>
      <c r="C7" s="31" t="n">
        <v>15</v>
      </c>
    </row>
    <row r="8" customFormat="false" ht="12.8" hidden="false" customHeight="false" outlineLevel="0" collapsed="false">
      <c r="A8" s="32"/>
      <c r="B8" s="33" t="s">
        <v>268</v>
      </c>
      <c r="C8" s="34" t="n">
        <v>455</v>
      </c>
    </row>
    <row r="9" customFormat="false" ht="12.8" hidden="false" customHeight="false" outlineLevel="0" collapsed="false">
      <c r="A9" s="29" t="s">
        <v>105</v>
      </c>
      <c r="B9" s="30" t="s">
        <v>267</v>
      </c>
      <c r="C9" s="31" t="n">
        <v>14</v>
      </c>
    </row>
    <row r="10" customFormat="false" ht="12.8" hidden="false" customHeight="false" outlineLevel="0" collapsed="false">
      <c r="A10" s="32"/>
      <c r="B10" s="33" t="s">
        <v>268</v>
      </c>
      <c r="C10" s="34" t="n">
        <v>445</v>
      </c>
    </row>
    <row r="11" customFormat="false" ht="12.8" hidden="false" customHeight="false" outlineLevel="0" collapsed="false">
      <c r="A11" s="29" t="s">
        <v>37</v>
      </c>
      <c r="B11" s="30" t="s">
        <v>267</v>
      </c>
      <c r="C11" s="31" t="n">
        <v>16</v>
      </c>
    </row>
    <row r="12" customFormat="false" ht="12.8" hidden="false" customHeight="false" outlineLevel="0" collapsed="false">
      <c r="A12" s="32"/>
      <c r="B12" s="33" t="s">
        <v>268</v>
      </c>
      <c r="C12" s="34" t="n">
        <v>505</v>
      </c>
    </row>
    <row r="13" customFormat="false" ht="12.8" hidden="false" customHeight="false" outlineLevel="0" collapsed="false">
      <c r="A13" s="29" t="s">
        <v>84</v>
      </c>
      <c r="B13" s="30" t="s">
        <v>267</v>
      </c>
      <c r="C13" s="31" t="n">
        <v>5</v>
      </c>
    </row>
    <row r="14" customFormat="false" ht="12.8" hidden="false" customHeight="false" outlineLevel="0" collapsed="false">
      <c r="A14" s="32"/>
      <c r="B14" s="33" t="s">
        <v>268</v>
      </c>
      <c r="C14" s="34" t="n">
        <v>170</v>
      </c>
    </row>
    <row r="15" customFormat="false" ht="12.8" hidden="false" customHeight="false" outlineLevel="0" collapsed="false">
      <c r="A15" s="29" t="s">
        <v>43</v>
      </c>
      <c r="B15" s="30" t="s">
        <v>267</v>
      </c>
      <c r="C15" s="31" t="n">
        <v>13</v>
      </c>
    </row>
    <row r="16" customFormat="false" ht="12.8" hidden="false" customHeight="false" outlineLevel="0" collapsed="false">
      <c r="A16" s="32"/>
      <c r="B16" s="33" t="s">
        <v>268</v>
      </c>
      <c r="C16" s="34" t="n">
        <v>480</v>
      </c>
    </row>
    <row r="17" customFormat="false" ht="12.8" hidden="false" customHeight="false" outlineLevel="0" collapsed="false">
      <c r="A17" s="35" t="s">
        <v>269</v>
      </c>
      <c r="B17" s="36"/>
      <c r="C17" s="37" t="n">
        <v>72</v>
      </c>
    </row>
    <row r="18" customFormat="false" ht="12.8" hidden="false" customHeight="false" outlineLevel="0" collapsed="false">
      <c r="A18" s="38" t="s">
        <v>270</v>
      </c>
      <c r="B18" s="39"/>
      <c r="C18" s="40" t="n">
        <v>2295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2026-10-02T08:54:41Z</dcterms:created>
  <dc:creator>openpyxl</dc:creator>
  <dc:description/>
  <dc:language>en-US</dc:language>
  <cp:lastModifiedBy/>
  <dcterms:modified xsi:type="dcterms:W3CDTF">2026-10-03T09:15:58Z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