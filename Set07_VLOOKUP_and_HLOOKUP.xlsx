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Notes" sheetId="1" state="visible" r:id="rId3"/>
    <sheet name="T1_VLOOKUP" sheetId="2" state="visible" r:id="rId4"/>
    <sheet name="T2_HLOOKUP" sheetId="3" state="visible" r:id="rId5"/>
    <sheet name="T3_Approx_VLOOKUP" sheetId="4" state="visible" r:id="rId6"/>
    <sheet name="T4_VLOOKUP_Limi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<sst xmlns="http://schemas.openxmlformats.org/spreadsheetml/2006/main" count="110" uniqueCount="93">
  <si>
    <t xml:space="preserve">Set 7 - VLOOKUP and HLOOKUP</t>
  </si>
  <si>
    <t xml:space="preserve">Each task has its own worksheet (named in the 'Worksheet' column). Sample data is synthetic and created for this assignment.</t>
  </si>
  <si>
    <t xml:space="preserve">Task</t>
  </si>
  <si>
    <t xml:space="preserve">Question (summary)</t>
  </si>
  <si>
    <t xml:space="preserve">Worksheet</t>
  </si>
  <si>
    <t xml:space="preserve">What was done / answer / explanation</t>
  </si>
  <si>
    <t xml:space="preserve">1</t>
  </si>
  <si>
    <t xml:space="preserve">VLOOKUP price of a Flipkart product by name (10 products).</t>
  </si>
  <si>
    <t xml:space="preserve">T1_VLOOKUP</t>
  </si>
  <si>
    <t xml:space="preserve">E2: =VLOOKUP(E1,A2:B11,2,FALSE). FALSE = exact match; 2 = return the 2nd column (Price). E1 has a drop-down of the 10 products.</t>
  </si>
  <si>
    <t xml:space="preserve">2</t>
  </si>
  <si>
    <t xml:space="preserve">HLOOKUP rating of a dish (8 dishes in a horizontal row).</t>
  </si>
  <si>
    <t xml:space="preserve">T2_HLOOKUP</t>
  </si>
  <si>
    <t xml:space="preserve">B5: =HLOOKUP(B4,A1:I2,2,FALSE) searches the dish names in row 1 and returns the value from row 2 of the same column.</t>
  </si>
  <si>
    <t xml:space="preserve">3</t>
  </si>
  <si>
    <t xml:space="preserve">VLOOKUP with range_lookup TRUE on 12 Instagram users; explain behaviour for names not in the list.</t>
  </si>
  <si>
    <t xml:space="preserve">T3_Approx_VLOOKUP</t>
  </si>
  <si>
    <t xml:space="preserve">With range_lookup = TRUE, VLOOKUP does NOT look for an exact name. It assumes the first column is sorted A-Z and returns the row of the LARGEST value that is &lt;= the lookup value. So 'kavya.nai' (misspelled) returns the number of 'jaydeep_rana' (the closest earlier name) and 'karan.joshi' (not in list) returns the number of 'jaydeep_rana' - a WRONG person's number with no error. A name that sorts before the first item gives an N/A error. If the list is not sorted, results become unreliable. Use FALSE for exact matches.</t>
  </si>
  <si>
    <t xml:space="preserve">4</t>
  </si>
  <si>
    <t xml:space="preserve">Show VLOOKUP limitation after inserting 'Discount' before 'Product Name'.</t>
  </si>
  <si>
    <t xml:space="preserve">T4_VLOOKUP_Limit</t>
  </si>
  <si>
    <t xml:space="preserve">VLOOKUP always searches the LEFT-most column of table_array. Because Discount is now column A, searching for a product name in A2:C11 finds nothing and returns an N/A error (the sheet wraps it in IFERROR so the file stays error-free). Fix: INDEX(C2:C11,MATCH(F1,B2:B11,0)) or XLOOKUP, which can look in any column.</t>
  </si>
  <si>
    <t xml:space="preserve">Product Name</t>
  </si>
  <si>
    <t xml:space="preserve">Price (Rs)</t>
  </si>
  <si>
    <t xml:space="preserve">Enter product name:</t>
  </si>
  <si>
    <t xml:space="preserve">Noise Smartwatch</t>
  </si>
  <si>
    <t xml:space="preserve">Boat Airdopes 141</t>
  </si>
  <si>
    <t xml:space="preserve">Price:</t>
  </si>
  <si>
    <t xml:space="preserve">Redmi Note 13</t>
  </si>
  <si>
    <t xml:space="preserve">Puma Running Shoes</t>
  </si>
  <si>
    <t xml:space="preserve">Pick any product in the yellow cell E1 (drop-down); E2 returns its price.</t>
  </si>
  <si>
    <t xml:space="preserve">Philips Air Fryer</t>
  </si>
  <si>
    <t xml:space="preserve">Levis Slim Jeans</t>
  </si>
  <si>
    <t xml:space="preserve">Lenovo Laptop Bag</t>
  </si>
  <si>
    <t xml:space="preserve">Samsung Galaxy M34</t>
  </si>
  <si>
    <t xml:space="preserve">HP Wireless Mouse</t>
  </si>
  <si>
    <t xml:space="preserve">Prestige Pressure Cooker</t>
  </si>
  <si>
    <t xml:space="preserve">Dish</t>
  </si>
  <si>
    <t xml:space="preserve">Butter Chicken</t>
  </si>
  <si>
    <t xml:space="preserve">Paneer Tikka</t>
  </si>
  <si>
    <t xml:space="preserve">Veg Biryani</t>
  </si>
  <si>
    <t xml:space="preserve">Masala Dosa</t>
  </si>
  <si>
    <t xml:space="preserve">Chole Bhature</t>
  </si>
  <si>
    <t xml:space="preserve">Margherita Pizza</t>
  </si>
  <si>
    <t xml:space="preserve">Pav Bhaji</t>
  </si>
  <si>
    <t xml:space="preserve">Gulab Jamun</t>
  </si>
  <si>
    <t xml:space="preserve">Rating</t>
  </si>
  <si>
    <t xml:space="preserve">Enter dish name:</t>
  </si>
  <si>
    <t xml:space="preserve">Rating:</t>
  </si>
  <si>
    <t xml:space="preserve">Instagram User (sorted A-Z)</t>
  </si>
  <si>
    <t xml:space="preserve">Mobile</t>
  </si>
  <si>
    <t xml:space="preserve">Test</t>
  </si>
  <si>
    <t xml:space="preserve">Search name</t>
  </si>
  <si>
    <t xml:space="preserve">VLOOKUP(...,TRUE) result</t>
  </si>
  <si>
    <t xml:space="preserve">anjali.mehta</t>
  </si>
  <si>
    <t xml:space="preserve">9824011122</t>
  </si>
  <si>
    <t xml:space="preserve">Exact name in list</t>
  </si>
  <si>
    <t xml:space="preserve">kavya.nair</t>
  </si>
  <si>
    <t xml:space="preserve">bhavin_shah</t>
  </si>
  <si>
    <t xml:space="preserve">9825033344</t>
  </si>
  <si>
    <t xml:space="preserve">Misspelled / partial name</t>
  </si>
  <si>
    <t xml:space="preserve">kavya.nai</t>
  </si>
  <si>
    <t xml:space="preserve">chirag.patel</t>
  </si>
  <si>
    <t xml:space="preserve">9979055566</t>
  </si>
  <si>
    <t xml:space="preserve">Name NOT in list (between two names)</t>
  </si>
  <si>
    <t xml:space="preserve">karan.joshi</t>
  </si>
  <si>
    <t xml:space="preserve">dhruv_kapoor</t>
  </si>
  <si>
    <t xml:space="preserve">9898077788</t>
  </si>
  <si>
    <t xml:space="preserve">Name that sorts after the last item</t>
  </si>
  <si>
    <t xml:space="preserve">zoya.khan</t>
  </si>
  <si>
    <t xml:space="preserve">hiral.desai</t>
  </si>
  <si>
    <t xml:space="preserve">9712099900</t>
  </si>
  <si>
    <t xml:space="preserve">Name that sorts before the first item</t>
  </si>
  <si>
    <t xml:space="preserve">aarav.jain</t>
  </si>
  <si>
    <t xml:space="preserve">jaydeep_rana</t>
  </si>
  <si>
    <t xml:space="preserve">9033011223</t>
  </si>
  <si>
    <t xml:space="preserve">9099044556</t>
  </si>
  <si>
    <t xml:space="preserve">Compare with exact match: =VLOOKUP(E3,$A$2:$B$13,2,FALSE) -&gt;</t>
  </si>
  <si>
    <t xml:space="preserve">manish_joshi</t>
  </si>
  <si>
    <t xml:space="preserve">9427077889</t>
  </si>
  <si>
    <t xml:space="preserve">nisha.verma</t>
  </si>
  <si>
    <t xml:space="preserve">9558000112</t>
  </si>
  <si>
    <t xml:space="preserve">parth_trivedi</t>
  </si>
  <si>
    <t xml:space="preserve">9879033445</t>
  </si>
  <si>
    <t xml:space="preserve">riya.sharma</t>
  </si>
  <si>
    <t xml:space="preserve">9328066778</t>
  </si>
  <si>
    <t xml:space="preserve">vishal.patel</t>
  </si>
  <si>
    <t xml:space="preserve">9601099001</t>
  </si>
  <si>
    <t xml:space="preserve">Discount</t>
  </si>
  <si>
    <t xml:space="preserve">VLOOKUP attempt (as text):</t>
  </si>
  <si>
    <t xml:space="preserve">=VLOOKUP(F1,A2:C11,3,FALSE)</t>
  </si>
  <si>
    <t xml:space="preserve">Live result of that formula:</t>
  </si>
  <si>
    <t xml:space="preserve">Fix: INDEX + MATCH: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</si>
</sst>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@"/>
    <numFmt numFmtId="168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1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46.2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17</v>
      </c>
    </row>
    <row r="8" customFormat="false" ht="35.05" hidden="false" customHeight="false" outlineLevel="0" collapsed="false">
      <c r="A8" s="4" t="s">
        <v>18</v>
      </c>
      <c r="B8" s="4" t="s">
        <v>19</v>
      </c>
      <c r="C8" s="4" t="s">
        <v>20</v>
      </c>
      <c r="D8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3"/>
    <col collapsed="false" customWidth="true" hidden="false" outlineLevel="0" max="4" min="4" style="0" width="45"/>
    <col collapsed="false" customWidth="true" hidden="false" outlineLevel="0" max="5" min="5" style="0" width="19"/>
  </cols>
  <sheetData>
    <row r="1" customFormat="false" ht="15" hidden="false" customHeight="false" outlineLevel="0" collapsed="false">
      <c r="A1" s="3" t="s">
        <v>22</v>
      </c>
      <c r="B1" s="3" t="s">
        <v>23</v>
      </c>
      <c r="D1" s="5" t="s">
        <v>24</v>
      </c>
      <c r="E1" s="6" t="s">
        <v>25</v>
      </c>
    </row>
    <row r="2" customFormat="false" ht="15" hidden="false" customHeight="false" outlineLevel="0" collapsed="false">
      <c r="A2" s="7" t="s">
        <v>26</v>
      </c>
      <c r="B2" s="8" t="n">
        <v>1299</v>
      </c>
      <c r="D2" s="5" t="s">
        <v>27</v>
      </c>
      <c r="E2" s="9" t="n">
        <f aca="false">VLOOKUP(E1,A2:B11,2,FALSE())</f>
        <v>2199</v>
      </c>
    </row>
    <row r="3" customFormat="false" ht="15" hidden="false" customHeight="false" outlineLevel="0" collapsed="false">
      <c r="A3" s="7" t="s">
        <v>28</v>
      </c>
      <c r="B3" s="8" t="n">
        <v>16999</v>
      </c>
    </row>
    <row r="4" customFormat="false" ht="15" hidden="false" customHeight="false" outlineLevel="0" collapsed="false">
      <c r="A4" s="7" t="s">
        <v>29</v>
      </c>
      <c r="B4" s="8" t="n">
        <v>2499</v>
      </c>
      <c r="D4" s="10" t="s">
        <v>30</v>
      </c>
    </row>
    <row r="5" customFormat="false" ht="15" hidden="false" customHeight="false" outlineLevel="0" collapsed="false">
      <c r="A5" s="7" t="s">
        <v>31</v>
      </c>
      <c r="B5" s="8" t="n">
        <v>7995</v>
      </c>
    </row>
    <row r="6" customFormat="false" ht="15" hidden="false" customHeight="false" outlineLevel="0" collapsed="false">
      <c r="A6" s="7" t="s">
        <v>32</v>
      </c>
      <c r="B6" s="8" t="n">
        <v>1899</v>
      </c>
    </row>
    <row r="7" customFormat="false" ht="15" hidden="false" customHeight="false" outlineLevel="0" collapsed="false">
      <c r="A7" s="7" t="s">
        <v>25</v>
      </c>
      <c r="B7" s="8" t="n">
        <v>2199</v>
      </c>
    </row>
    <row r="8" customFormat="false" ht="15" hidden="false" customHeight="false" outlineLevel="0" collapsed="false">
      <c r="A8" s="7" t="s">
        <v>33</v>
      </c>
      <c r="B8" s="8" t="n">
        <v>899</v>
      </c>
    </row>
    <row r="9" customFormat="false" ht="15" hidden="false" customHeight="false" outlineLevel="0" collapsed="false">
      <c r="A9" s="7" t="s">
        <v>34</v>
      </c>
      <c r="B9" s="8" t="n">
        <v>18499</v>
      </c>
    </row>
    <row r="10" customFormat="false" ht="15" hidden="false" customHeight="false" outlineLevel="0" collapsed="false">
      <c r="A10" s="7" t="s">
        <v>35</v>
      </c>
      <c r="B10" s="8" t="n">
        <v>549</v>
      </c>
    </row>
    <row r="11" customFormat="false" ht="15" hidden="false" customHeight="false" outlineLevel="0" collapsed="false">
      <c r="A11" s="7" t="s">
        <v>36</v>
      </c>
      <c r="B11" s="8" t="n">
        <v>1650</v>
      </c>
    </row>
  </sheetData>
  <dataValidations count="1">
    <dataValidation allowBlank="false" errorStyle="stop" operator="between" showDropDown="false" showErrorMessage="false" showInputMessage="false" sqref="E1" type="list">
      <formula1>$A$2:$A$11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9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</row>
    <row r="2" customFormat="false" ht="15" hidden="false" customHeight="false" outlineLevel="0" collapsed="false">
      <c r="A2" s="5" t="s">
        <v>46</v>
      </c>
      <c r="B2" s="7" t="n">
        <v>4.6</v>
      </c>
      <c r="C2" s="7" t="n">
        <v>4.4</v>
      </c>
      <c r="D2" s="7" t="n">
        <v>4.2</v>
      </c>
      <c r="E2" s="7" t="n">
        <v>4.5</v>
      </c>
      <c r="F2" s="7" t="n">
        <v>4.3</v>
      </c>
      <c r="G2" s="7" t="n">
        <v>4.1</v>
      </c>
      <c r="H2" s="7" t="n">
        <v>4.4</v>
      </c>
      <c r="I2" s="7" t="n">
        <v>4.7</v>
      </c>
    </row>
    <row r="4" customFormat="false" ht="15" hidden="false" customHeight="false" outlineLevel="0" collapsed="false">
      <c r="A4" s="5" t="s">
        <v>47</v>
      </c>
      <c r="B4" s="6" t="s">
        <v>44</v>
      </c>
    </row>
    <row r="5" customFormat="false" ht="15" hidden="false" customHeight="false" outlineLevel="0" collapsed="false">
      <c r="A5" s="5" t="s">
        <v>48</v>
      </c>
      <c r="B5" s="11" t="n">
        <f aca="false">HLOOKUP(B4,A1:I2,2,FALSE())</f>
        <v>4.4</v>
      </c>
    </row>
  </sheetData>
  <dataValidations count="1">
    <dataValidation allowBlank="false" errorStyle="stop" operator="between" showDropDown="false" showErrorMessage="false" showInputMessage="false" sqref="B4" type="list">
      <formula1>$B$1:$I$1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4" min="4" style="0" width="45"/>
    <col collapsed="false" customWidth="true" hidden="false" outlineLevel="0" max="5" min="5" style="0" width="14"/>
    <col collapsed="false" customWidth="true" hidden="false" outlineLevel="0" max="6" min="6" style="0" width="27"/>
  </cols>
  <sheetData>
    <row r="1" customFormat="false" ht="15" hidden="false" customHeight="false" outlineLevel="0" collapsed="false">
      <c r="A1" s="3" t="s">
        <v>49</v>
      </c>
      <c r="B1" s="3" t="s">
        <v>50</v>
      </c>
      <c r="D1" s="3" t="s">
        <v>51</v>
      </c>
      <c r="E1" s="3" t="s">
        <v>52</v>
      </c>
      <c r="F1" s="3" t="s">
        <v>53</v>
      </c>
    </row>
    <row r="2" customFormat="false" ht="15" hidden="false" customHeight="false" outlineLevel="0" collapsed="false">
      <c r="A2" s="7" t="s">
        <v>54</v>
      </c>
      <c r="B2" s="12" t="s">
        <v>55</v>
      </c>
      <c r="D2" s="7" t="s">
        <v>56</v>
      </c>
      <c r="E2" s="6" t="s">
        <v>57</v>
      </c>
      <c r="F2" s="7" t="str">
        <f aca="false">IFERROR(VLOOKUP(E2,$A$2:$B$13,2,TRUE()),"N/A (smaller than first item)")</f>
        <v>9099044556</v>
      </c>
    </row>
    <row r="3" customFormat="false" ht="15" hidden="false" customHeight="false" outlineLevel="0" collapsed="false">
      <c r="A3" s="7" t="s">
        <v>58</v>
      </c>
      <c r="B3" s="12" t="s">
        <v>59</v>
      </c>
      <c r="D3" s="7" t="s">
        <v>60</v>
      </c>
      <c r="E3" s="6" t="s">
        <v>61</v>
      </c>
      <c r="F3" s="7" t="str">
        <f aca="false">IFERROR(VLOOKUP(E3,$A$2:$B$13,2,TRUE()),"N/A (smaller than first item)")</f>
        <v>9033011223</v>
      </c>
    </row>
    <row r="4" customFormat="false" ht="15" hidden="false" customHeight="false" outlineLevel="0" collapsed="false">
      <c r="A4" s="7" t="s">
        <v>62</v>
      </c>
      <c r="B4" s="12" t="s">
        <v>63</v>
      </c>
      <c r="D4" s="7" t="s">
        <v>64</v>
      </c>
      <c r="E4" s="6" t="s">
        <v>65</v>
      </c>
      <c r="F4" s="7" t="str">
        <f aca="false">IFERROR(VLOOKUP(E4,$A$2:$B$13,2,TRUE()),"N/A (smaller than first item)")</f>
        <v>9033011223</v>
      </c>
    </row>
    <row r="5" customFormat="false" ht="15" hidden="false" customHeight="false" outlineLevel="0" collapsed="false">
      <c r="A5" s="7" t="s">
        <v>66</v>
      </c>
      <c r="B5" s="12" t="s">
        <v>67</v>
      </c>
      <c r="D5" s="7" t="s">
        <v>68</v>
      </c>
      <c r="E5" s="6" t="s">
        <v>69</v>
      </c>
      <c r="F5" s="7" t="str">
        <f aca="false">IFERROR(VLOOKUP(E5,$A$2:$B$13,2,TRUE()),"N/A (smaller than first item)")</f>
        <v>9601099001</v>
      </c>
    </row>
    <row r="6" customFormat="false" ht="15" hidden="false" customHeight="false" outlineLevel="0" collapsed="false">
      <c r="A6" s="7" t="s">
        <v>70</v>
      </c>
      <c r="B6" s="12" t="s">
        <v>71</v>
      </c>
      <c r="D6" s="7" t="s">
        <v>72</v>
      </c>
      <c r="E6" s="6" t="s">
        <v>73</v>
      </c>
      <c r="F6" s="7" t="str">
        <f aca="false">IFERROR(VLOOKUP(E6,$A$2:$B$13,2,TRUE()),"N/A (smaller than first item)")</f>
        <v>N/A (smaller than first item)</v>
      </c>
    </row>
    <row r="7" customFormat="false" ht="15" hidden="false" customHeight="false" outlineLevel="0" collapsed="false">
      <c r="A7" s="7" t="s">
        <v>74</v>
      </c>
      <c r="B7" s="12" t="s">
        <v>75</v>
      </c>
    </row>
    <row r="8" customFormat="false" ht="15" hidden="false" customHeight="false" outlineLevel="0" collapsed="false">
      <c r="A8" s="7" t="s">
        <v>57</v>
      </c>
      <c r="B8" s="12" t="s">
        <v>76</v>
      </c>
      <c r="D8" s="5" t="s">
        <v>77</v>
      </c>
      <c r="F8" s="10" t="str">
        <f aca="false">IFERROR(VLOOKUP(E3,$A$2:$B$13,2,FALSE()),"N/A - not found")</f>
        <v>N/A - not found</v>
      </c>
    </row>
    <row r="9" customFormat="false" ht="15" hidden="false" customHeight="false" outlineLevel="0" collapsed="false">
      <c r="A9" s="7" t="s">
        <v>78</v>
      </c>
      <c r="B9" s="12" t="s">
        <v>79</v>
      </c>
    </row>
    <row r="10" customFormat="false" ht="15" hidden="false" customHeight="false" outlineLevel="0" collapsed="false">
      <c r="A10" s="7" t="s">
        <v>80</v>
      </c>
      <c r="B10" s="12" t="s">
        <v>81</v>
      </c>
    </row>
    <row r="11" customFormat="false" ht="15" hidden="false" customHeight="false" outlineLevel="0" collapsed="false">
      <c r="A11" s="7" t="s">
        <v>82</v>
      </c>
      <c r="B11" s="12" t="s">
        <v>83</v>
      </c>
    </row>
    <row r="12" customFormat="false" ht="15" hidden="false" customHeight="false" outlineLevel="0" collapsed="false">
      <c r="A12" s="7" t="s">
        <v>84</v>
      </c>
      <c r="B12" s="12" t="s">
        <v>85</v>
      </c>
    </row>
    <row r="13" customFormat="false" ht="15" hidden="false" customHeight="false" outlineLevel="0" collapsed="false">
      <c r="A13" s="7" t="s">
        <v>86</v>
      </c>
      <c r="B13" s="12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7"/>
    <col collapsed="false" customWidth="true" hidden="false" outlineLevel="0" max="3" min="3" style="0" width="13"/>
    <col collapsed="false" customWidth="true" hidden="false" outlineLevel="0" max="5" min="5" style="0" width="31"/>
    <col collapsed="false" customWidth="true" hidden="false" outlineLevel="0" max="6" min="6" style="0" width="19"/>
  </cols>
  <sheetData>
    <row r="1" customFormat="false" ht="15" hidden="false" customHeight="false" outlineLevel="0" collapsed="false">
      <c r="A1" s="3" t="s">
        <v>88</v>
      </c>
      <c r="B1" s="3" t="s">
        <v>22</v>
      </c>
      <c r="C1" s="3" t="s">
        <v>23</v>
      </c>
      <c r="E1" s="5" t="s">
        <v>24</v>
      </c>
      <c r="F1" s="6" t="s">
        <v>25</v>
      </c>
    </row>
    <row r="2" customFormat="false" ht="15" hidden="false" customHeight="false" outlineLevel="0" collapsed="false">
      <c r="A2" s="13" t="n">
        <v>0.1</v>
      </c>
      <c r="B2" s="7" t="s">
        <v>26</v>
      </c>
      <c r="C2" s="8" t="n">
        <v>1299</v>
      </c>
      <c r="E2" s="5" t="s">
        <v>89</v>
      </c>
      <c r="F2" s="10" t="s">
        <v>90</v>
      </c>
    </row>
    <row r="3" customFormat="false" ht="15" hidden="false" customHeight="false" outlineLevel="0" collapsed="false">
      <c r="A3" s="13" t="n">
        <v>0.05</v>
      </c>
      <c r="B3" s="7" t="s">
        <v>28</v>
      </c>
      <c r="C3" s="8" t="n">
        <v>16999</v>
      </c>
      <c r="E3" s="5" t="s">
        <v>91</v>
      </c>
      <c r="F3" s="10" t="str">
        <f aca="false">IFERROR(VLOOKUP(F1,A2:C11,3,FALSE()),"N/A - name is not in the first column")</f>
        <v>N/A - name is not in the first column</v>
      </c>
    </row>
    <row r="4" customFormat="false" ht="15" hidden="false" customHeight="false" outlineLevel="0" collapsed="false">
      <c r="A4" s="13" t="n">
        <v>0.15</v>
      </c>
      <c r="B4" s="7" t="s">
        <v>29</v>
      </c>
      <c r="C4" s="8" t="n">
        <v>2499</v>
      </c>
      <c r="E4" s="5" t="s">
        <v>92</v>
      </c>
      <c r="F4" s="9" t="n">
        <f aca="false">INDEX(C2:C11,MATCH(F1,B2:B11,0))</f>
        <v>2199</v>
      </c>
    </row>
    <row r="5" customFormat="false" ht="15" hidden="false" customHeight="false" outlineLevel="0" collapsed="false">
      <c r="A5" s="13" t="n">
        <v>0.2</v>
      </c>
      <c r="B5" s="7" t="s">
        <v>31</v>
      </c>
      <c r="C5" s="8" t="n">
        <v>7995</v>
      </c>
    </row>
    <row r="6" customFormat="false" ht="15" hidden="false" customHeight="false" outlineLevel="0" collapsed="false">
      <c r="A6" s="13" t="n">
        <v>0.1</v>
      </c>
      <c r="B6" s="7" t="s">
        <v>32</v>
      </c>
      <c r="C6" s="8" t="n">
        <v>1899</v>
      </c>
    </row>
    <row r="7" customFormat="false" ht="15" hidden="false" customHeight="false" outlineLevel="0" collapsed="false">
      <c r="A7" s="13" t="n">
        <v>0.25</v>
      </c>
      <c r="B7" s="7" t="s">
        <v>25</v>
      </c>
      <c r="C7" s="8" t="n">
        <v>2199</v>
      </c>
    </row>
    <row r="8" customFormat="false" ht="15" hidden="false" customHeight="false" outlineLevel="0" collapsed="false">
      <c r="A8" s="13" t="n">
        <v>0.05</v>
      </c>
      <c r="B8" s="7" t="s">
        <v>33</v>
      </c>
      <c r="C8" s="8" t="n">
        <v>899</v>
      </c>
    </row>
    <row r="9" customFormat="false" ht="15" hidden="false" customHeight="false" outlineLevel="0" collapsed="false">
      <c r="A9" s="13" t="n">
        <v>0.12</v>
      </c>
      <c r="B9" s="7" t="s">
        <v>34</v>
      </c>
      <c r="C9" s="8" t="n">
        <v>18499</v>
      </c>
    </row>
    <row r="10" customFormat="false" ht="15" hidden="false" customHeight="false" outlineLevel="0" collapsed="false">
      <c r="A10" s="13" t="n">
        <v>0.08</v>
      </c>
      <c r="B10" s="7" t="s">
        <v>35</v>
      </c>
      <c r="C10" s="8" t="n">
        <v>549</v>
      </c>
    </row>
    <row r="11" customFormat="false" ht="15" hidden="false" customHeight="false" outlineLevel="0" collapsed="false">
      <c r="A11" s="13" t="n">
        <v>0.1</v>
      </c>
      <c r="B11" s="7" t="s">
        <v>36</v>
      </c>
      <c r="C11" s="8" t="n">
        <v>1650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2026-10-02T08:47:37Z</dcterms:created>
  <dc:creator>openpyxl</dc:creator>
  <dc:description/>
  <dc:language>en-US</dc:language>
  <cp:lastModifiedBy/>
  <dcterms:modified xsi:type="dcterms:W3CDTF">2026-10-02T08:47:37Z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