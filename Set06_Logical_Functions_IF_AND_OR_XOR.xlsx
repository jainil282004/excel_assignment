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Notes" sheetId="1" state="visible" r:id="rId3"/>
    <sheet name="T1_IF" sheetId="2" state="visible" r:id="rId4"/>
    <sheet name="T2_NestedIF" sheetId="3" state="visible" r:id="rId5"/>
    <sheet name="T3_IF_AND" sheetId="4" state="visible" r:id="rId6"/>
    <sheet name="T4_IF_OR" sheetId="5" state="visible" r:id="rId7"/>
    <sheet name="T5_IF_XO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<sst xmlns="http://schemas.openxmlformats.org/spreadsheetml/2006/main" count="140" uniqueCount="109">
  <si>
    <t xml:space="preserve">Set 6 - IF, Nested IF, AND, OR, XOR</t>
  </si>
  <si>
    <t xml:space="preserve">Each task has its own worksheet (named in the 'Worksheet' column). Sample data is synthetic and created for this assignment.</t>
  </si>
  <si>
    <t xml:space="preserve">Task</t>
  </si>
  <si>
    <t xml:space="preserve">Question (summary)</t>
  </si>
  <si>
    <t xml:space="preserve">Worksheet</t>
  </si>
  <si>
    <t xml:space="preserve">What was done / answer / explanation</t>
  </si>
  <si>
    <t xml:space="preserve">1</t>
  </si>
  <si>
    <t xml:space="preserve">IF: High Value if &gt;= Rs 500 else Regular.</t>
  </si>
  <si>
    <t xml:space="preserve">T1_IF</t>
  </si>
  <si>
    <t xml:space="preserve">Formula: =IF(C2&gt;=500,"High Value","Regular")</t>
  </si>
  <si>
    <t xml:space="preserve">2</t>
  </si>
  <si>
    <t xml:space="preserve">Nested IF rating: Star 1000+, Pro 700-999, Rising 400-699, Newbie &lt;400.</t>
  </si>
  <si>
    <t xml:space="preserve">T2_NestedIF</t>
  </si>
  <si>
    <t xml:space="preserve">Formula: =IF(B2&gt;=1000,"Star",IF(B2&gt;=700,"Pro",IF(B2&gt;=400,"Rising","Newbie"))). Conditions are tested top-down so each later test only runs when the earlier ones are false.</t>
  </si>
  <si>
    <t xml:space="preserve">3</t>
  </si>
  <si>
    <t xml:space="preserve">IF + AND: Eligible when Prepaid AND Delivered.</t>
  </si>
  <si>
    <t xml:space="preserve">T3_IF_AND</t>
  </si>
  <si>
    <t xml:space="preserve">Formula: =IF(AND(B2="Prepaid",C2="Delivered"),"Eligible","Not eligible") - both conditions must be true.</t>
  </si>
  <si>
    <t xml:space="preserve">4</t>
  </si>
  <si>
    <t xml:space="preserve">IF + OR: Quick Access if downloaded OR favorite.</t>
  </si>
  <si>
    <t xml:space="preserve">T4_IF_OR</t>
  </si>
  <si>
    <t xml:space="preserve">Formula: =IF(OR(C2,D2),"Quick Access","-") - TRUE if at least one of the two flags is TRUE.</t>
  </si>
  <si>
    <t xml:space="preserve">5</t>
  </si>
  <si>
    <t xml:space="preserve">IF + XOR: Suspicious only when exactly one condition is true.</t>
  </si>
  <si>
    <t xml:space="preserve">T5_IF_XOR</t>
  </si>
  <si>
    <t xml:space="preserve">Formula: =IF(XOR(B2,C2),"Suspicious","OK"): TRUE/FALSE -&gt; Suspicious, FALSE/TRUE -&gt; Suspicious, TRUE/TRUE -&gt; OK (both), FALSE/FALSE -&gt; OK (neither).</t>
  </si>
  <si>
    <t xml:space="preserve">Order ID</t>
  </si>
  <si>
    <t xml:space="preserve">Restaurant</t>
  </si>
  <si>
    <t xml:space="preserve">Total Amount (Rs)</t>
  </si>
  <si>
    <t xml:space="preserve">Order type</t>
  </si>
  <si>
    <t xml:space="preserve">ZOM2001</t>
  </si>
  <si>
    <t xml:space="preserve">KFC</t>
  </si>
  <si>
    <t xml:space="preserve">ZOM2002</t>
  </si>
  <si>
    <t xml:space="preserve">ZOM2003</t>
  </si>
  <si>
    <t xml:space="preserve">Biryani Blues</t>
  </si>
  <si>
    <t xml:space="preserve">ZOM2004</t>
  </si>
  <si>
    <t xml:space="preserve">ZOM2005</t>
  </si>
  <si>
    <t xml:space="preserve">Pizza Hut</t>
  </si>
  <si>
    <t xml:space="preserve">ZOM2006</t>
  </si>
  <si>
    <t xml:space="preserve">ZOM2007</t>
  </si>
  <si>
    <t xml:space="preserve">ZOM2008</t>
  </si>
  <si>
    <t xml:space="preserve">Burger King</t>
  </si>
  <si>
    <t xml:space="preserve">ZOM2009</t>
  </si>
  <si>
    <t xml:space="preserve">Wok Express</t>
  </si>
  <si>
    <t xml:space="preserve">ZOM2010</t>
  </si>
  <si>
    <t xml:space="preserve">ZOM2011</t>
  </si>
  <si>
    <t xml:space="preserve">ZOM2012</t>
  </si>
  <si>
    <t xml:space="preserve">Domino's</t>
  </si>
  <si>
    <t xml:space="preserve">Player</t>
  </si>
  <si>
    <t xml:space="preserve">Total Runs</t>
  </si>
  <si>
    <t xml:space="preserve">Rating</t>
  </si>
  <si>
    <t xml:space="preserve">Virat Kohli</t>
  </si>
  <si>
    <t xml:space="preserve">Rohit Sharma</t>
  </si>
  <si>
    <t xml:space="preserve">Shubman Gill</t>
  </si>
  <si>
    <t xml:space="preserve">KL Rahul</t>
  </si>
  <si>
    <t xml:space="preserve">Hardik Pandya</t>
  </si>
  <si>
    <t xml:space="preserve">Rinku Singh</t>
  </si>
  <si>
    <t xml:space="preserve">Ruturaj Gaikwad</t>
  </si>
  <si>
    <t xml:space="preserve">Tilak Varma</t>
  </si>
  <si>
    <t xml:space="preserve">Sai Sudharsan</t>
  </si>
  <si>
    <t xml:space="preserve">Riyan Parag</t>
  </si>
  <si>
    <t xml:space="preserve">Payment Method</t>
  </si>
  <si>
    <t xml:space="preserve">Order Status</t>
  </si>
  <si>
    <t xml:space="preserve">Return/Refund offer</t>
  </si>
  <si>
    <t xml:space="preserve">FK3001</t>
  </si>
  <si>
    <t xml:space="preserve">Prepaid</t>
  </si>
  <si>
    <t xml:space="preserve">Shipped</t>
  </si>
  <si>
    <t xml:space="preserve">FK3002</t>
  </si>
  <si>
    <t xml:space="preserve">Delivered</t>
  </si>
  <si>
    <t xml:space="preserve">FK3003</t>
  </si>
  <si>
    <t xml:space="preserve">COD</t>
  </si>
  <si>
    <t xml:space="preserve">FK3004</t>
  </si>
  <si>
    <t xml:space="preserve">FK3005</t>
  </si>
  <si>
    <t xml:space="preserve">FK3006</t>
  </si>
  <si>
    <t xml:space="preserve">FK3007</t>
  </si>
  <si>
    <t xml:space="preserve">FK3008</t>
  </si>
  <si>
    <t xml:space="preserve">FK3009</t>
  </si>
  <si>
    <t xml:space="preserve">FK3010</t>
  </si>
  <si>
    <t xml:space="preserve">FK3011</t>
  </si>
  <si>
    <t xml:space="preserve">FK3012</t>
  </si>
  <si>
    <t xml:space="preserve">Song name</t>
  </si>
  <si>
    <t xml:space="preserve">Artist</t>
  </si>
  <si>
    <t xml:space="preserve">isDownloaded</t>
  </si>
  <si>
    <t xml:space="preserve">isFavorite</t>
  </si>
  <si>
    <t xml:space="preserve">Access tag</t>
  </si>
  <si>
    <t xml:space="preserve">Kesariya</t>
  </si>
  <si>
    <t xml:space="preserve">Arijit Singh</t>
  </si>
  <si>
    <t xml:space="preserve">Shape of You</t>
  </si>
  <si>
    <t xml:space="preserve">Ed Sheeran</t>
  </si>
  <si>
    <t xml:space="preserve">Levitating</t>
  </si>
  <si>
    <t xml:space="preserve">Dua Lipa</t>
  </si>
  <si>
    <t xml:space="preserve">Tum Hi Ho</t>
  </si>
  <si>
    <t xml:space="preserve">Believer</t>
  </si>
  <si>
    <t xml:space="preserve">Imagine Dragons</t>
  </si>
  <si>
    <t xml:space="preserve">Blinding Lights</t>
  </si>
  <si>
    <t xml:space="preserve">The Weeknd</t>
  </si>
  <si>
    <t xml:space="preserve">Apna Bana Le</t>
  </si>
  <si>
    <t xml:space="preserve">Perfect</t>
  </si>
  <si>
    <t xml:space="preserve">New delivery address?</t>
  </si>
  <si>
    <t xml:space="preserve">Paid by cash?</t>
  </si>
  <si>
    <t xml:space="preserve">Flag</t>
  </si>
  <si>
    <t xml:space="preserve">ZM5001</t>
  </si>
  <si>
    <t xml:space="preserve">ZM5002</t>
  </si>
  <si>
    <t xml:space="preserve">ZM5003</t>
  </si>
  <si>
    <t xml:space="preserve">ZM5004</t>
  </si>
  <si>
    <t xml:space="preserve">ZM5005</t>
  </si>
  <si>
    <t xml:space="preserve">ZM5006</t>
  </si>
  <si>
    <t xml:space="preserve">ZM5007</t>
  </si>
  <si>
    <t xml:space="preserve">ZM5008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</si>
</sst>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5"/>
    <col collapsed="false" customWidth="true" hidden="false" outlineLevel="0" max="3" min="3" style="0" width="22"/>
    <col collapsed="false" customWidth="true" hidden="false" outlineLevel="0" max="4" min="4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23.85" hidden="false" customHeight="false" outlineLevel="0" collapsed="false">
      <c r="A6" s="4" t="s">
        <v>10</v>
      </c>
      <c r="B6" s="4" t="s">
        <v>11</v>
      </c>
      <c r="C6" s="4" t="s">
        <v>12</v>
      </c>
      <c r="D6" s="4" t="s">
        <v>13</v>
      </c>
    </row>
    <row r="7" customFormat="false" ht="15" hidden="false" customHeight="false" outlineLevel="0" collapsed="false">
      <c r="A7" s="4" t="s">
        <v>14</v>
      </c>
      <c r="B7" s="4" t="s">
        <v>15</v>
      </c>
      <c r="C7" s="4" t="s">
        <v>16</v>
      </c>
      <c r="D7" s="4" t="s">
        <v>17</v>
      </c>
    </row>
    <row r="8" customFormat="false" ht="15" hidden="false" customHeight="false" outlineLevel="0" collapsed="false">
      <c r="A8" s="4" t="s">
        <v>18</v>
      </c>
      <c r="B8" s="4" t="s">
        <v>19</v>
      </c>
      <c r="C8" s="4" t="s">
        <v>20</v>
      </c>
      <c r="D8" s="4" t="s">
        <v>21</v>
      </c>
    </row>
    <row r="9" customFormat="false" ht="23.85" hidden="false" customHeight="false" outlineLevel="0" collapsed="false">
      <c r="A9" s="4" t="s">
        <v>22</v>
      </c>
      <c r="B9" s="4" t="s">
        <v>23</v>
      </c>
      <c r="C9" s="4" t="s">
        <v>24</v>
      </c>
      <c r="D9" s="4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7"/>
  </cols>
  <sheetData>
    <row r="1" customFormat="false" ht="15" hidden="false" customHeight="false" outlineLevel="0" collapsed="false">
      <c r="A1" s="3" t="s">
        <v>26</v>
      </c>
      <c r="B1" s="3" t="s">
        <v>27</v>
      </c>
      <c r="C1" s="3" t="s">
        <v>28</v>
      </c>
      <c r="D1" s="3" t="s">
        <v>29</v>
      </c>
    </row>
    <row r="2" customFormat="false" ht="15" hidden="false" customHeight="false" outlineLevel="0" collapsed="false">
      <c r="A2" s="5" t="s">
        <v>30</v>
      </c>
      <c r="B2" s="5" t="s">
        <v>31</v>
      </c>
      <c r="C2" s="5" t="n">
        <v>890</v>
      </c>
      <c r="D2" s="5" t="str">
        <f aca="false">IF(C2&gt;=500,"High Value","Regular")</f>
        <v>High Value</v>
      </c>
    </row>
    <row r="3" customFormat="false" ht="15" hidden="false" customHeight="false" outlineLevel="0" collapsed="false">
      <c r="A3" s="5" t="s">
        <v>32</v>
      </c>
      <c r="B3" s="5" t="s">
        <v>31</v>
      </c>
      <c r="C3" s="5" t="n">
        <v>750</v>
      </c>
      <c r="D3" s="5" t="str">
        <f aca="false">IF(C3&gt;=500,"High Value","Regular")</f>
        <v>High Value</v>
      </c>
    </row>
    <row r="4" customFormat="false" ht="15" hidden="false" customHeight="false" outlineLevel="0" collapsed="false">
      <c r="A4" s="5" t="s">
        <v>33</v>
      </c>
      <c r="B4" s="5" t="s">
        <v>34</v>
      </c>
      <c r="C4" s="5" t="n">
        <v>410</v>
      </c>
      <c r="D4" s="5" t="str">
        <f aca="false">IF(C4&gt;=500,"High Value","Regular")</f>
        <v>Regular</v>
      </c>
    </row>
    <row r="5" customFormat="false" ht="15" hidden="false" customHeight="false" outlineLevel="0" collapsed="false">
      <c r="A5" s="5" t="s">
        <v>35</v>
      </c>
      <c r="B5" s="5" t="s">
        <v>31</v>
      </c>
      <c r="C5" s="5" t="n">
        <v>980</v>
      </c>
      <c r="D5" s="5" t="str">
        <f aca="false">IF(C5&gt;=500,"High Value","Regular")</f>
        <v>High Value</v>
      </c>
    </row>
    <row r="6" customFormat="false" ht="15" hidden="false" customHeight="false" outlineLevel="0" collapsed="false">
      <c r="A6" s="5" t="s">
        <v>36</v>
      </c>
      <c r="B6" s="5" t="s">
        <v>37</v>
      </c>
      <c r="C6" s="5" t="n">
        <v>300</v>
      </c>
      <c r="D6" s="5" t="str">
        <f aca="false">IF(C6&gt;=500,"High Value","Regular")</f>
        <v>Regular</v>
      </c>
    </row>
    <row r="7" customFormat="false" ht="15" hidden="false" customHeight="false" outlineLevel="0" collapsed="false">
      <c r="A7" s="5" t="s">
        <v>38</v>
      </c>
      <c r="B7" s="5" t="s">
        <v>31</v>
      </c>
      <c r="C7" s="5" t="n">
        <v>560</v>
      </c>
      <c r="D7" s="5" t="str">
        <f aca="false">IF(C7&gt;=500,"High Value","Regular")</f>
        <v>High Value</v>
      </c>
    </row>
    <row r="8" customFormat="false" ht="15" hidden="false" customHeight="false" outlineLevel="0" collapsed="false">
      <c r="A8" s="5" t="s">
        <v>39</v>
      </c>
      <c r="B8" s="5" t="s">
        <v>37</v>
      </c>
      <c r="C8" s="5" t="n">
        <v>290</v>
      </c>
      <c r="D8" s="5" t="str">
        <f aca="false">IF(C8&gt;=500,"High Value","Regular")</f>
        <v>Regular</v>
      </c>
    </row>
    <row r="9" customFormat="false" ht="15" hidden="false" customHeight="false" outlineLevel="0" collapsed="false">
      <c r="A9" s="5" t="s">
        <v>40</v>
      </c>
      <c r="B9" s="5" t="s">
        <v>41</v>
      </c>
      <c r="C9" s="5" t="n">
        <v>940</v>
      </c>
      <c r="D9" s="5" t="str">
        <f aca="false">IF(C9&gt;=500,"High Value","Regular")</f>
        <v>High Value</v>
      </c>
    </row>
    <row r="10" customFormat="false" ht="15" hidden="false" customHeight="false" outlineLevel="0" collapsed="false">
      <c r="A10" s="5" t="s">
        <v>42</v>
      </c>
      <c r="B10" s="5" t="s">
        <v>43</v>
      </c>
      <c r="C10" s="5" t="n">
        <v>750</v>
      </c>
      <c r="D10" s="5" t="str">
        <f aca="false">IF(C10&gt;=500,"High Value","Regular")</f>
        <v>High Value</v>
      </c>
    </row>
    <row r="11" customFormat="false" ht="15" hidden="false" customHeight="false" outlineLevel="0" collapsed="false">
      <c r="A11" s="5" t="s">
        <v>44</v>
      </c>
      <c r="B11" s="5" t="s">
        <v>37</v>
      </c>
      <c r="C11" s="5" t="n">
        <v>970</v>
      </c>
      <c r="D11" s="5" t="str">
        <f aca="false">IF(C11&gt;=500,"High Value","Regular")</f>
        <v>High Value</v>
      </c>
    </row>
    <row r="12" customFormat="false" ht="15" hidden="false" customHeight="false" outlineLevel="0" collapsed="false">
      <c r="A12" s="5" t="s">
        <v>45</v>
      </c>
      <c r="B12" s="5" t="s">
        <v>41</v>
      </c>
      <c r="C12" s="5" t="n">
        <v>850</v>
      </c>
      <c r="D12" s="5" t="str">
        <f aca="false">IF(C12&gt;=500,"High Value","Regular")</f>
        <v>High Value</v>
      </c>
    </row>
    <row r="13" customFormat="false" ht="15" hidden="false" customHeight="false" outlineLevel="0" collapsed="false">
      <c r="A13" s="5" t="s">
        <v>46</v>
      </c>
      <c r="B13" s="5" t="s">
        <v>47</v>
      </c>
      <c r="C13" s="5" t="n">
        <v>250</v>
      </c>
      <c r="D13" s="5" t="str">
        <f aca="false">IF(C13&gt;=500,"High Value","Regular")</f>
        <v>Regular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17"/>
  </cols>
  <sheetData>
    <row r="1" customFormat="false" ht="15" hidden="false" customHeight="false" outlineLevel="0" collapsed="false">
      <c r="A1" s="3" t="s">
        <v>48</v>
      </c>
      <c r="B1" s="3" t="s">
        <v>49</v>
      </c>
      <c r="C1" s="3" t="s">
        <v>50</v>
      </c>
    </row>
    <row r="2" customFormat="false" ht="15" hidden="false" customHeight="false" outlineLevel="0" collapsed="false">
      <c r="A2" s="5" t="s">
        <v>51</v>
      </c>
      <c r="B2" s="5" t="n">
        <v>1243</v>
      </c>
      <c r="C2" s="5" t="str">
        <f aca="false">IF(B2&gt;=1000,"Star",IF(B2&gt;=700,"Pro",IF(B2&gt;=400,"Rising","Newbie")))</f>
        <v>Star</v>
      </c>
    </row>
    <row r="3" customFormat="false" ht="15" hidden="false" customHeight="false" outlineLevel="0" collapsed="false">
      <c r="A3" s="5" t="s">
        <v>52</v>
      </c>
      <c r="B3" s="5" t="n">
        <v>865</v>
      </c>
      <c r="C3" s="5" t="str">
        <f aca="false">IF(B3&gt;=1000,"Star",IF(B3&gt;=700,"Pro",IF(B3&gt;=400,"Rising","Newbie")))</f>
        <v>Pro</v>
      </c>
    </row>
    <row r="4" customFormat="false" ht="15" hidden="false" customHeight="false" outlineLevel="0" collapsed="false">
      <c r="A4" s="5" t="s">
        <v>53</v>
      </c>
      <c r="B4" s="5" t="n">
        <v>912</v>
      </c>
      <c r="C4" s="5" t="str">
        <f aca="false">IF(B4&gt;=1000,"Star",IF(B4&gt;=700,"Pro",IF(B4&gt;=400,"Rising","Newbie")))</f>
        <v>Pro</v>
      </c>
    </row>
    <row r="5" customFormat="false" ht="15" hidden="false" customHeight="false" outlineLevel="0" collapsed="false">
      <c r="A5" s="5" t="s">
        <v>54</v>
      </c>
      <c r="B5" s="5" t="n">
        <v>540</v>
      </c>
      <c r="C5" s="5" t="str">
        <f aca="false">IF(B5&gt;=1000,"Star",IF(B5&gt;=700,"Pro",IF(B5&gt;=400,"Rising","Newbie")))</f>
        <v>Rising</v>
      </c>
    </row>
    <row r="6" customFormat="false" ht="15" hidden="false" customHeight="false" outlineLevel="0" collapsed="false">
      <c r="A6" s="5" t="s">
        <v>55</v>
      </c>
      <c r="B6" s="5" t="n">
        <v>402</v>
      </c>
      <c r="C6" s="5" t="str">
        <f aca="false">IF(B6&gt;=1000,"Star",IF(B6&gt;=700,"Pro",IF(B6&gt;=400,"Rising","Newbie")))</f>
        <v>Rising</v>
      </c>
    </row>
    <row r="7" customFormat="false" ht="15" hidden="false" customHeight="false" outlineLevel="0" collapsed="false">
      <c r="A7" s="5" t="s">
        <v>56</v>
      </c>
      <c r="B7" s="5" t="n">
        <v>385</v>
      </c>
      <c r="C7" s="5" t="str">
        <f aca="false">IF(B7&gt;=1000,"Star",IF(B7&gt;=700,"Pro",IF(B7&gt;=400,"Rising","Newbie")))</f>
        <v>Newbie</v>
      </c>
    </row>
    <row r="8" customFormat="false" ht="15" hidden="false" customHeight="false" outlineLevel="0" collapsed="false">
      <c r="A8" s="5" t="s">
        <v>57</v>
      </c>
      <c r="B8" s="5" t="n">
        <v>710</v>
      </c>
      <c r="C8" s="5" t="str">
        <f aca="false">IF(B8&gt;=1000,"Star",IF(B8&gt;=700,"Pro",IF(B8&gt;=400,"Rising","Newbie")))</f>
        <v>Pro</v>
      </c>
    </row>
    <row r="9" customFormat="false" ht="15" hidden="false" customHeight="false" outlineLevel="0" collapsed="false">
      <c r="A9" s="5" t="s">
        <v>58</v>
      </c>
      <c r="B9" s="5" t="n">
        <v>650</v>
      </c>
      <c r="C9" s="5" t="str">
        <f aca="false">IF(B9&gt;=1000,"Star",IF(B9&gt;=700,"Pro",IF(B9&gt;=400,"Rising","Newbie")))</f>
        <v>Rising</v>
      </c>
    </row>
    <row r="10" customFormat="false" ht="15" hidden="false" customHeight="false" outlineLevel="0" collapsed="false">
      <c r="A10" s="5" t="s">
        <v>59</v>
      </c>
      <c r="B10" s="5" t="n">
        <v>1005</v>
      </c>
      <c r="C10" s="5" t="str">
        <f aca="false">IF(B10&gt;=1000,"Star",IF(B10&gt;=700,"Pro",IF(B10&gt;=400,"Rising","Newbie")))</f>
        <v>Star</v>
      </c>
    </row>
    <row r="11" customFormat="false" ht="15" hidden="false" customHeight="false" outlineLevel="0" collapsed="false">
      <c r="A11" s="5" t="s">
        <v>60</v>
      </c>
      <c r="B11" s="5" t="n">
        <v>220</v>
      </c>
      <c r="C11" s="5" t="str">
        <f aca="false">IF(B11&gt;=1000,"Star",IF(B11&gt;=700,"Pro",IF(B11&gt;=400,"Rising","Newbie")))</f>
        <v>Newbie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7"/>
    <col collapsed="false" customWidth="true" hidden="false" outlineLevel="0" max="3" min="3" style="0" width="15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3" t="s">
        <v>26</v>
      </c>
      <c r="B1" s="3" t="s">
        <v>61</v>
      </c>
      <c r="C1" s="3" t="s">
        <v>62</v>
      </c>
      <c r="D1" s="3" t="s">
        <v>63</v>
      </c>
    </row>
    <row r="2" customFormat="false" ht="15" hidden="false" customHeight="false" outlineLevel="0" collapsed="false">
      <c r="A2" s="5" t="s">
        <v>64</v>
      </c>
      <c r="B2" s="5" t="s">
        <v>65</v>
      </c>
      <c r="C2" s="5" t="s">
        <v>66</v>
      </c>
      <c r="D2" s="5" t="str">
        <f aca="false">IF(AND(B2="Prepaid",C2="Delivered"),"Eligible","Not eligible")</f>
        <v>Not eligible</v>
      </c>
    </row>
    <row r="3" customFormat="false" ht="15" hidden="false" customHeight="false" outlineLevel="0" collapsed="false">
      <c r="A3" s="5" t="s">
        <v>67</v>
      </c>
      <c r="B3" s="5" t="s">
        <v>65</v>
      </c>
      <c r="C3" s="5" t="s">
        <v>68</v>
      </c>
      <c r="D3" s="5" t="str">
        <f aca="false">IF(AND(B3="Prepaid",C3="Delivered"),"Eligible","Not eligible")</f>
        <v>Eligible</v>
      </c>
    </row>
    <row r="4" customFormat="false" ht="15" hidden="false" customHeight="false" outlineLevel="0" collapsed="false">
      <c r="A4" s="5" t="s">
        <v>69</v>
      </c>
      <c r="B4" s="5" t="s">
        <v>70</v>
      </c>
      <c r="C4" s="5" t="s">
        <v>68</v>
      </c>
      <c r="D4" s="5" t="str">
        <f aca="false">IF(AND(B4="Prepaid",C4="Delivered"),"Eligible","Not eligible")</f>
        <v>Not eligible</v>
      </c>
    </row>
    <row r="5" customFormat="false" ht="15" hidden="false" customHeight="false" outlineLevel="0" collapsed="false">
      <c r="A5" s="5" t="s">
        <v>71</v>
      </c>
      <c r="B5" s="5" t="s">
        <v>70</v>
      </c>
      <c r="C5" s="5" t="s">
        <v>66</v>
      </c>
      <c r="D5" s="5" t="str">
        <f aca="false">IF(AND(B5="Prepaid",C5="Delivered"),"Eligible","Not eligible")</f>
        <v>Not eligible</v>
      </c>
    </row>
    <row r="6" customFormat="false" ht="15" hidden="false" customHeight="false" outlineLevel="0" collapsed="false">
      <c r="A6" s="5" t="s">
        <v>72</v>
      </c>
      <c r="B6" s="5" t="s">
        <v>65</v>
      </c>
      <c r="C6" s="5" t="s">
        <v>66</v>
      </c>
      <c r="D6" s="5" t="str">
        <f aca="false">IF(AND(B6="Prepaid",C6="Delivered"),"Eligible","Not eligible")</f>
        <v>Not eligible</v>
      </c>
    </row>
    <row r="7" customFormat="false" ht="15" hidden="false" customHeight="false" outlineLevel="0" collapsed="false">
      <c r="A7" s="5" t="s">
        <v>73</v>
      </c>
      <c r="B7" s="5" t="s">
        <v>65</v>
      </c>
      <c r="C7" s="5" t="s">
        <v>68</v>
      </c>
      <c r="D7" s="5" t="str">
        <f aca="false">IF(AND(B7="Prepaid",C7="Delivered"),"Eligible","Not eligible")</f>
        <v>Eligible</v>
      </c>
    </row>
    <row r="8" customFormat="false" ht="15" hidden="false" customHeight="false" outlineLevel="0" collapsed="false">
      <c r="A8" s="5" t="s">
        <v>74</v>
      </c>
      <c r="B8" s="5" t="s">
        <v>70</v>
      </c>
      <c r="C8" s="5" t="s">
        <v>68</v>
      </c>
      <c r="D8" s="5" t="str">
        <f aca="false">IF(AND(B8="Prepaid",C8="Delivered"),"Eligible","Not eligible")</f>
        <v>Not eligible</v>
      </c>
    </row>
    <row r="9" customFormat="false" ht="15" hidden="false" customHeight="false" outlineLevel="0" collapsed="false">
      <c r="A9" s="5" t="s">
        <v>75</v>
      </c>
      <c r="B9" s="5" t="s">
        <v>65</v>
      </c>
      <c r="C9" s="5" t="s">
        <v>68</v>
      </c>
      <c r="D9" s="5" t="str">
        <f aca="false">IF(AND(B9="Prepaid",C9="Delivered"),"Eligible","Not eligible")</f>
        <v>Eligible</v>
      </c>
    </row>
    <row r="10" customFormat="false" ht="15" hidden="false" customHeight="false" outlineLevel="0" collapsed="false">
      <c r="A10" s="5" t="s">
        <v>76</v>
      </c>
      <c r="B10" s="5" t="s">
        <v>70</v>
      </c>
      <c r="C10" s="5" t="s">
        <v>68</v>
      </c>
      <c r="D10" s="5" t="str">
        <f aca="false">IF(AND(B10="Prepaid",C10="Delivered"),"Eligible","Not eligible")</f>
        <v>Not eligible</v>
      </c>
    </row>
    <row r="11" customFormat="false" ht="15" hidden="false" customHeight="false" outlineLevel="0" collapsed="false">
      <c r="A11" s="5" t="s">
        <v>77</v>
      </c>
      <c r="B11" s="5" t="s">
        <v>70</v>
      </c>
      <c r="C11" s="5" t="s">
        <v>68</v>
      </c>
      <c r="D11" s="5" t="str">
        <f aca="false">IF(AND(B11="Prepaid",C11="Delivered"),"Eligible","Not eligible")</f>
        <v>Not eligible</v>
      </c>
    </row>
    <row r="12" customFormat="false" ht="15" hidden="false" customHeight="false" outlineLevel="0" collapsed="false">
      <c r="A12" s="5" t="s">
        <v>78</v>
      </c>
      <c r="B12" s="5" t="s">
        <v>65</v>
      </c>
      <c r="C12" s="5" t="s">
        <v>68</v>
      </c>
      <c r="D12" s="5" t="str">
        <f aca="false">IF(AND(B12="Prepaid",C12="Delivered"),"Eligible","Not eligible")</f>
        <v>Eligible</v>
      </c>
    </row>
    <row r="13" customFormat="false" ht="15" hidden="false" customHeight="false" outlineLevel="0" collapsed="false">
      <c r="A13" s="5" t="s">
        <v>79</v>
      </c>
      <c r="B13" s="5" t="s">
        <v>70</v>
      </c>
      <c r="C13" s="5" t="s">
        <v>66</v>
      </c>
      <c r="D13" s="5" t="str">
        <f aca="false">IF(AND(B13="Prepaid",C13="Delivered"),"Eligible","Not eligible")</f>
        <v>Not eligible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7"/>
  </cols>
  <sheetData>
    <row r="1" customFormat="false" ht="15" hidden="false" customHeight="false" outlineLevel="0" collapsed="false">
      <c r="A1" s="3" t="s">
        <v>80</v>
      </c>
      <c r="B1" s="3" t="s">
        <v>81</v>
      </c>
      <c r="C1" s="3" t="s">
        <v>82</v>
      </c>
      <c r="D1" s="3" t="s">
        <v>83</v>
      </c>
      <c r="E1" s="3" t="s">
        <v>84</v>
      </c>
    </row>
    <row r="2" customFormat="false" ht="15" hidden="false" customHeight="false" outlineLevel="0" collapsed="false">
      <c r="A2" s="5" t="s">
        <v>85</v>
      </c>
      <c r="B2" s="5" t="s">
        <v>86</v>
      </c>
      <c r="C2" s="6" t="b">
        <f aca="false">TRUE()</f>
        <v>1</v>
      </c>
      <c r="D2" s="6" t="b">
        <f aca="false">FALSE()</f>
        <v>0</v>
      </c>
      <c r="E2" s="5" t="str">
        <f aca="false">IF(OR(C2,D2),"Quick Access","-")</f>
        <v>Quick Access</v>
      </c>
    </row>
    <row r="3" customFormat="false" ht="15" hidden="false" customHeight="false" outlineLevel="0" collapsed="false">
      <c r="A3" s="5" t="s">
        <v>87</v>
      </c>
      <c r="B3" s="5" t="s">
        <v>88</v>
      </c>
      <c r="C3" s="6" t="b">
        <f aca="false">FALSE()</f>
        <v>0</v>
      </c>
      <c r="D3" s="6" t="b">
        <f aca="false">TRUE()</f>
        <v>1</v>
      </c>
      <c r="E3" s="5" t="str">
        <f aca="false">IF(OR(C3,D3),"Quick Access","-")</f>
        <v>Quick Access</v>
      </c>
    </row>
    <row r="4" customFormat="false" ht="15" hidden="false" customHeight="false" outlineLevel="0" collapsed="false">
      <c r="A4" s="5" t="s">
        <v>89</v>
      </c>
      <c r="B4" s="5" t="s">
        <v>90</v>
      </c>
      <c r="C4" s="6" t="b">
        <f aca="false">FALSE()</f>
        <v>0</v>
      </c>
      <c r="D4" s="6" t="b">
        <f aca="false">FALSE()</f>
        <v>0</v>
      </c>
      <c r="E4" s="5" t="str">
        <f aca="false">IF(OR(C4,D4),"Quick Access","-")</f>
        <v>-</v>
      </c>
    </row>
    <row r="5" customFormat="false" ht="15" hidden="false" customHeight="false" outlineLevel="0" collapsed="false">
      <c r="A5" s="5" t="s">
        <v>91</v>
      </c>
      <c r="B5" s="5" t="s">
        <v>86</v>
      </c>
      <c r="C5" s="6" t="b">
        <f aca="false">TRUE()</f>
        <v>1</v>
      </c>
      <c r="D5" s="6" t="b">
        <f aca="false">TRUE()</f>
        <v>1</v>
      </c>
      <c r="E5" s="5" t="str">
        <f aca="false">IF(OR(C5,D5),"Quick Access","-")</f>
        <v>Quick Access</v>
      </c>
    </row>
    <row r="6" customFormat="false" ht="15" hidden="false" customHeight="false" outlineLevel="0" collapsed="false">
      <c r="A6" s="5" t="s">
        <v>92</v>
      </c>
      <c r="B6" s="5" t="s">
        <v>93</v>
      </c>
      <c r="C6" s="6" t="b">
        <f aca="false">FALSE()</f>
        <v>0</v>
      </c>
      <c r="D6" s="6" t="b">
        <f aca="false">FALSE()</f>
        <v>0</v>
      </c>
      <c r="E6" s="5" t="str">
        <f aca="false">IF(OR(C6,D6),"Quick Access","-")</f>
        <v>-</v>
      </c>
    </row>
    <row r="7" customFormat="false" ht="15" hidden="false" customHeight="false" outlineLevel="0" collapsed="false">
      <c r="A7" s="5" t="s">
        <v>94</v>
      </c>
      <c r="B7" s="5" t="s">
        <v>95</v>
      </c>
      <c r="C7" s="6" t="b">
        <f aca="false">TRUE()</f>
        <v>1</v>
      </c>
      <c r="D7" s="6" t="b">
        <f aca="false">FALSE()</f>
        <v>0</v>
      </c>
      <c r="E7" s="5" t="str">
        <f aca="false">IF(OR(C7,D7),"Quick Access","-")</f>
        <v>Quick Access</v>
      </c>
    </row>
    <row r="8" customFormat="false" ht="15" hidden="false" customHeight="false" outlineLevel="0" collapsed="false">
      <c r="A8" s="5" t="s">
        <v>96</v>
      </c>
      <c r="B8" s="5" t="s">
        <v>86</v>
      </c>
      <c r="C8" s="6" t="b">
        <f aca="false">FALSE()</f>
        <v>0</v>
      </c>
      <c r="D8" s="6" t="b">
        <f aca="false">TRUE()</f>
        <v>1</v>
      </c>
      <c r="E8" s="5" t="str">
        <f aca="false">IF(OR(C8,D8),"Quick Access","-")</f>
        <v>Quick Access</v>
      </c>
    </row>
    <row r="9" customFormat="false" ht="15" hidden="false" customHeight="false" outlineLevel="0" collapsed="false">
      <c r="A9" s="5" t="s">
        <v>97</v>
      </c>
      <c r="B9" s="5" t="s">
        <v>88</v>
      </c>
      <c r="C9" s="6" t="b">
        <f aca="false">FALSE()</f>
        <v>0</v>
      </c>
      <c r="D9" s="6" t="b">
        <f aca="false">FALSE()</f>
        <v>0</v>
      </c>
      <c r="E9" s="5" t="str">
        <f aca="false">IF(OR(C9,D9),"Quick Access","-")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7"/>
  </cols>
  <sheetData>
    <row r="1" customFormat="false" ht="15" hidden="false" customHeight="false" outlineLevel="0" collapsed="false">
      <c r="A1" s="3" t="s">
        <v>26</v>
      </c>
      <c r="B1" s="3" t="s">
        <v>98</v>
      </c>
      <c r="C1" s="3" t="s">
        <v>99</v>
      </c>
      <c r="D1" s="3" t="s">
        <v>100</v>
      </c>
    </row>
    <row r="2" customFormat="false" ht="15" hidden="false" customHeight="false" outlineLevel="0" collapsed="false">
      <c r="A2" s="5" t="s">
        <v>101</v>
      </c>
      <c r="B2" s="6" t="b">
        <f aca="false">TRUE()</f>
        <v>1</v>
      </c>
      <c r="C2" s="6" t="b">
        <f aca="false">FALSE()</f>
        <v>0</v>
      </c>
      <c r="D2" s="5" t="str">
        <f aca="false">IF(_xlfn.XOR(B2,C2),"Suspicious","OK")</f>
        <v>Suspicious</v>
      </c>
    </row>
    <row r="3" customFormat="false" ht="15" hidden="false" customHeight="false" outlineLevel="0" collapsed="false">
      <c r="A3" s="5" t="s">
        <v>102</v>
      </c>
      <c r="B3" s="6" t="b">
        <f aca="false">FALSE()</f>
        <v>0</v>
      </c>
      <c r="C3" s="6" t="b">
        <f aca="false">TRUE()</f>
        <v>1</v>
      </c>
      <c r="D3" s="5" t="str">
        <f aca="false">IF(_xlfn.XOR(B3,C3),"Suspicious","OK")</f>
        <v>Suspicious</v>
      </c>
    </row>
    <row r="4" customFormat="false" ht="15" hidden="false" customHeight="false" outlineLevel="0" collapsed="false">
      <c r="A4" s="5" t="s">
        <v>103</v>
      </c>
      <c r="B4" s="6" t="b">
        <f aca="false">TRUE()</f>
        <v>1</v>
      </c>
      <c r="C4" s="6" t="b">
        <f aca="false">TRUE()</f>
        <v>1</v>
      </c>
      <c r="D4" s="5" t="str">
        <f aca="false">IF(_xlfn.XOR(B4,C4),"Suspicious","OK")</f>
        <v>OK</v>
      </c>
    </row>
    <row r="5" customFormat="false" ht="15" hidden="false" customHeight="false" outlineLevel="0" collapsed="false">
      <c r="A5" s="5" t="s">
        <v>104</v>
      </c>
      <c r="B5" s="6" t="b">
        <f aca="false">FALSE()</f>
        <v>0</v>
      </c>
      <c r="C5" s="6" t="b">
        <f aca="false">FALSE()</f>
        <v>0</v>
      </c>
      <c r="D5" s="5" t="str">
        <f aca="false">IF(_xlfn.XOR(B5,C5),"Suspicious","OK")</f>
        <v>OK</v>
      </c>
    </row>
    <row r="6" customFormat="false" ht="15" hidden="false" customHeight="false" outlineLevel="0" collapsed="false">
      <c r="A6" s="5" t="s">
        <v>105</v>
      </c>
      <c r="B6" s="6" t="b">
        <f aca="false">TRUE()</f>
        <v>1</v>
      </c>
      <c r="C6" s="6" t="b">
        <f aca="false">FALSE()</f>
        <v>0</v>
      </c>
      <c r="D6" s="5" t="str">
        <f aca="false">IF(_xlfn.XOR(B6,C6),"Suspicious","OK")</f>
        <v>Suspicious</v>
      </c>
    </row>
    <row r="7" customFormat="false" ht="15" hidden="false" customHeight="false" outlineLevel="0" collapsed="false">
      <c r="A7" s="5" t="s">
        <v>106</v>
      </c>
      <c r="B7" s="6" t="b">
        <f aca="false">FALSE()</f>
        <v>0</v>
      </c>
      <c r="C7" s="6" t="b">
        <f aca="false">TRUE()</f>
        <v>1</v>
      </c>
      <c r="D7" s="5" t="str">
        <f aca="false">IF(_xlfn.XOR(B7,C7),"Suspicious","OK")</f>
        <v>Suspicious</v>
      </c>
    </row>
    <row r="8" customFormat="false" ht="15" hidden="false" customHeight="false" outlineLevel="0" collapsed="false">
      <c r="A8" s="5" t="s">
        <v>107</v>
      </c>
      <c r="B8" s="6" t="b">
        <f aca="false">FALSE()</f>
        <v>0</v>
      </c>
      <c r="C8" s="6" t="b">
        <f aca="false">FALSE()</f>
        <v>0</v>
      </c>
      <c r="D8" s="5" t="str">
        <f aca="false">IF(_xlfn.XOR(B8,C8),"Suspicious","OK")</f>
        <v>OK</v>
      </c>
    </row>
    <row r="9" customFormat="false" ht="15" hidden="false" customHeight="false" outlineLevel="0" collapsed="false">
      <c r="A9" s="5" t="s">
        <v>108</v>
      </c>
      <c r="B9" s="6" t="b">
        <f aca="false">TRUE()</f>
        <v>1</v>
      </c>
      <c r="C9" s="6" t="b">
        <f aca="false">TRUE()</f>
        <v>1</v>
      </c>
      <c r="D9" s="5" t="str">
        <f aca="false">IF(_xlfn.XOR(B9,C9),"Suspicious","OK")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2026-10-02T08:45:40Z</dcterms:created>
  <dc:creator>openpyxl</dc:creator>
  <dc:description/>
  <dc:language>en-US</dc:language>
  <cp:lastModifiedBy/>
  <dcterms:modified xsi:type="dcterms:W3CDTF">2026-10-02T08:45:40Z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