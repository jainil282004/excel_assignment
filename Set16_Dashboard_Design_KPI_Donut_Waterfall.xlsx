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Notes" sheetId="1" state="visible" r:id="rId3"/>
    <sheet name="Data" sheetId="2" state="visible" r:id="rId4"/>
    <sheet name="T1_Wireframe" sheetId="3" state="visible" r:id="rId5"/>
    <sheet name="T2_KPI_Cards" sheetId="4" state="visible" r:id="rId6"/>
    <sheet name="T3_Donut" sheetId="5" state="visible" r:id="rId7"/>
    <sheet name="T4_Waterfall" sheetId="6" state="visible" r:id="rId8"/>
    <sheet name="T5_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<sst xmlns="http://schemas.openxmlformats.org/spreadsheetml/2006/main" count="600" uniqueCount="253">
  <si>
    <t xml:space="preserve">Set 16 - Dashboard design: wireframe, KPI cards, donut, waterfall, colour theory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</si>
  <si>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</si>
  <si>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</si>
  <si>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</si>
  <si>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</si>
  <si>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</si>
  <si>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</si>
  <si>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Wireframe for Zomato-style analytics report: Header, KPIs, Trends, Insights.</t>
  </si>
  <si>
    <t xml:space="preserve">T1_Wireframe</t>
  </si>
  <si>
    <t xml:space="preserve">Grid wireframe built with merged, colour-filled cells: dark header band, three KPI blocks, a large Trends area (waterfall), Insight chart (donut) + auto-text block and a footer. Layout follows a top-to-bottom reading order. A JPG snapshot is provided (Set16_Wireframe.jpg).</t>
  </si>
  <si>
    <t xml:space="preserve">2</t>
  </si>
  <si>
    <t xml:space="preserve">Three KPI cards: Min, Max, Average order value.</t>
  </si>
  <si>
    <t xml:space="preserve">T2_KPI_Cards</t>
  </si>
  <si>
    <t xml:space="preserve">Formula: =MIN, =MAX and =AVERAGE of Data!E2:E176 shown in merged-cell cards with large white numbers on grey / green / black fills (emphasis through size and colour).</t>
  </si>
  <si>
    <t xml:space="preserve">3</t>
  </si>
  <si>
    <t xml:space="preserve">Donut chart of cuisine proportions, modern dashboard style.</t>
  </si>
  <si>
    <t xml:space="preserve">T3_Donut</t>
  </si>
  <si>
    <t xml:space="preserve">COUNTIF per cuisine (Indian, Fast Food, Italian, Chinese, Desserts) feeds a doughnut chart: 62% hole size, white separators between slices, Spotify-inspired green/grey palette and percentage labels.</t>
  </si>
  <si>
    <t xml:space="preserve">4</t>
  </si>
  <si>
    <t xml:space="preserve">Waterfall chart of month-on-month change in total orders.</t>
  </si>
  <si>
    <t xml:space="preserve">T4_Waterfall</t>
  </si>
  <si>
    <t xml:space="preserve">Monthly order counts (COUNTIFS) -&gt; change vs previous month -&gt; stacked-column waterfall (invisible base + total / increase / decrease series) with green increases and red decreases. In Excel 2016+ you can also select A1:A8 and C1:C8 &gt; Insert &gt; Waterfall for the native chart type; the stacked version works in every Excel version.</t>
  </si>
  <si>
    <t xml:space="preserve">5</t>
  </si>
  <si>
    <t xml:space="preserve">Alignment, spacing and colour theory; consistent palette inspired by a favourite app.</t>
  </si>
  <si>
    <t xml:space="preserve">T5_Dashboard</t>
  </si>
  <si>
    <t xml:space="preserve">Everything snaps to a 14-column grid (B-O, equal widths): header band, three equal KPI cards (4 columns each, 1-column gaps), donut and waterfall side by side, insights strip and footer. Spotify-inspired palette with one accent colour (green) for emphasis, black/grey for structure and red reserved for decreases; Arial throughout; generous white space. Snapshot: Set16_Dashboard.jpg.</t>
  </si>
  <si>
    <t xml:space="preserve">Order ID</t>
  </si>
  <si>
    <t xml:space="preserve">Order Date</t>
  </si>
  <si>
    <t xml:space="preserve">Restaurant</t>
  </si>
  <si>
    <t xml:space="preserve">Cuisine</t>
  </si>
  <si>
    <t xml:space="preserve">Order Amount (Rs)</t>
  </si>
  <si>
    <t xml:space="preserve">ZM5001</t>
  </si>
  <si>
    <t xml:space="preserve">Gwalia Sweets</t>
  </si>
  <si>
    <t xml:space="preserve">Desserts</t>
  </si>
  <si>
    <t xml:space="preserve">ZM5002</t>
  </si>
  <si>
    <t xml:space="preserve">Honest Restaurant</t>
  </si>
  <si>
    <t xml:space="preserve">Indian</t>
  </si>
  <si>
    <t xml:space="preserve">ZM5003</t>
  </si>
  <si>
    <t xml:space="preserve">KFC</t>
  </si>
  <si>
    <t xml:space="preserve">Fast Food</t>
  </si>
  <si>
    <t xml:space="preserve">ZM5004</t>
  </si>
  <si>
    <t xml:space="preserve">ZM5005</t>
  </si>
  <si>
    <t xml:space="preserve">Burger King</t>
  </si>
  <si>
    <t xml:space="preserve">ZM5006</t>
  </si>
  <si>
    <t xml:space="preserve">ZM5007</t>
  </si>
  <si>
    <t xml:space="preserve">ZM5008</t>
  </si>
  <si>
    <t xml:space="preserve">ZM5009</t>
  </si>
  <si>
    <t xml:space="preserve">ZM5010</t>
  </si>
  <si>
    <t xml:space="preserve">ZM5011</t>
  </si>
  <si>
    <t xml:space="preserve">ZM5012</t>
  </si>
  <si>
    <t xml:space="preserve">Domino's</t>
  </si>
  <si>
    <t xml:space="preserve">Italian</t>
  </si>
  <si>
    <t xml:space="preserve">ZM5013</t>
  </si>
  <si>
    <t xml:space="preserve">Wok Express</t>
  </si>
  <si>
    <t xml:space="preserve">Chinese</t>
  </si>
  <si>
    <t xml:space="preserve">ZM5014</t>
  </si>
  <si>
    <t xml:space="preserve">ZM5015</t>
  </si>
  <si>
    <t xml:space="preserve">ZM5016</t>
  </si>
  <si>
    <t xml:space="preserve">ZM5017</t>
  </si>
  <si>
    <t xml:space="preserve">Pizza Hut</t>
  </si>
  <si>
    <t xml:space="preserve">ZM5018</t>
  </si>
  <si>
    <t xml:space="preserve">ZM5019</t>
  </si>
  <si>
    <t xml:space="preserve">ZM5020</t>
  </si>
  <si>
    <t xml:space="preserve">ZM5021</t>
  </si>
  <si>
    <t xml:space="preserve">ZM5022</t>
  </si>
  <si>
    <t xml:space="preserve">ZM5023</t>
  </si>
  <si>
    <t xml:space="preserve">ZM5024</t>
  </si>
  <si>
    <t xml:space="preserve">ZM5025</t>
  </si>
  <si>
    <t xml:space="preserve">ZM5026</t>
  </si>
  <si>
    <t xml:space="preserve">ZM5027</t>
  </si>
  <si>
    <t xml:space="preserve">ZM5028</t>
  </si>
  <si>
    <t xml:space="preserve">ZM5029</t>
  </si>
  <si>
    <t xml:space="preserve">Biryani Blues</t>
  </si>
  <si>
    <t xml:space="preserve">ZM5030</t>
  </si>
  <si>
    <t xml:space="preserve">ZM5031</t>
  </si>
  <si>
    <t xml:space="preserve">ZM5032</t>
  </si>
  <si>
    <t xml:space="preserve">ZM5033</t>
  </si>
  <si>
    <t xml:space="preserve">ZM5034</t>
  </si>
  <si>
    <t xml:space="preserve">ZM5035</t>
  </si>
  <si>
    <t xml:space="preserve">ZM5036</t>
  </si>
  <si>
    <t xml:space="preserve">ZM5037</t>
  </si>
  <si>
    <t xml:space="preserve">ZM5038</t>
  </si>
  <si>
    <t xml:space="preserve">ZM5039</t>
  </si>
  <si>
    <t xml:space="preserve">ZM5040</t>
  </si>
  <si>
    <t xml:space="preserve">ZM5041</t>
  </si>
  <si>
    <t xml:space="preserve">ZM5042</t>
  </si>
  <si>
    <t xml:space="preserve">ZM5043</t>
  </si>
  <si>
    <t xml:space="preserve">ZM5044</t>
  </si>
  <si>
    <t xml:space="preserve">ZM5045</t>
  </si>
  <si>
    <t xml:space="preserve">ZM5046</t>
  </si>
  <si>
    <t xml:space="preserve">ZM5047</t>
  </si>
  <si>
    <t xml:space="preserve">ZM5048</t>
  </si>
  <si>
    <t xml:space="preserve">ZM5049</t>
  </si>
  <si>
    <t xml:space="preserve">ZM5050</t>
  </si>
  <si>
    <t xml:space="preserve">ZM5051</t>
  </si>
  <si>
    <t xml:space="preserve">ZM5052</t>
  </si>
  <si>
    <t xml:space="preserve">ZM5053</t>
  </si>
  <si>
    <t xml:space="preserve">ZM5054</t>
  </si>
  <si>
    <t xml:space="preserve">ZM5055</t>
  </si>
  <si>
    <t xml:space="preserve">ZM5056</t>
  </si>
  <si>
    <t xml:space="preserve">ZM5057</t>
  </si>
  <si>
    <t xml:space="preserve">ZM5058</t>
  </si>
  <si>
    <t xml:space="preserve">ZM5059</t>
  </si>
  <si>
    <t xml:space="preserve">ZM5060</t>
  </si>
  <si>
    <t xml:space="preserve">ZM5061</t>
  </si>
  <si>
    <t xml:space="preserve">ZM5062</t>
  </si>
  <si>
    <t xml:space="preserve">ZM5063</t>
  </si>
  <si>
    <t xml:space="preserve">ZM5064</t>
  </si>
  <si>
    <t xml:space="preserve">ZM5065</t>
  </si>
  <si>
    <t xml:space="preserve">ZM5066</t>
  </si>
  <si>
    <t xml:space="preserve">ZM5067</t>
  </si>
  <si>
    <t xml:space="preserve">ZM5068</t>
  </si>
  <si>
    <t xml:space="preserve">ZM5069</t>
  </si>
  <si>
    <t xml:space="preserve">ZM5070</t>
  </si>
  <si>
    <t xml:space="preserve">ZM5071</t>
  </si>
  <si>
    <t xml:space="preserve">ZM5072</t>
  </si>
  <si>
    <t xml:space="preserve">ZM5073</t>
  </si>
  <si>
    <t xml:space="preserve">ZM5074</t>
  </si>
  <si>
    <t xml:space="preserve">ZM5075</t>
  </si>
  <si>
    <t xml:space="preserve">ZM5076</t>
  </si>
  <si>
    <t xml:space="preserve">ZM5077</t>
  </si>
  <si>
    <t xml:space="preserve">ZM5078</t>
  </si>
  <si>
    <t xml:space="preserve">ZM5079</t>
  </si>
  <si>
    <t xml:space="preserve">ZM5080</t>
  </si>
  <si>
    <t xml:space="preserve">ZM5081</t>
  </si>
  <si>
    <t xml:space="preserve">ZM5082</t>
  </si>
  <si>
    <t xml:space="preserve">ZM5083</t>
  </si>
  <si>
    <t xml:space="preserve">ZM5084</t>
  </si>
  <si>
    <t xml:space="preserve">ZM5085</t>
  </si>
  <si>
    <t xml:space="preserve">ZM5086</t>
  </si>
  <si>
    <t xml:space="preserve">ZM5087</t>
  </si>
  <si>
    <t xml:space="preserve">ZM5088</t>
  </si>
  <si>
    <t xml:space="preserve">ZM5089</t>
  </si>
  <si>
    <t xml:space="preserve">ZM5090</t>
  </si>
  <si>
    <t xml:space="preserve">ZM5091</t>
  </si>
  <si>
    <t xml:space="preserve">ZM5092</t>
  </si>
  <si>
    <t xml:space="preserve">ZM5093</t>
  </si>
  <si>
    <t xml:space="preserve">ZM5094</t>
  </si>
  <si>
    <t xml:space="preserve">ZM5095</t>
  </si>
  <si>
    <t xml:space="preserve">ZM5096</t>
  </si>
  <si>
    <t xml:space="preserve">ZM5097</t>
  </si>
  <si>
    <t xml:space="preserve">ZM5098</t>
  </si>
  <si>
    <t xml:space="preserve">ZM5099</t>
  </si>
  <si>
    <t xml:space="preserve">ZM5100</t>
  </si>
  <si>
    <t xml:space="preserve">ZM5101</t>
  </si>
  <si>
    <t xml:space="preserve">ZM5102</t>
  </si>
  <si>
    <t xml:space="preserve">ZM5103</t>
  </si>
  <si>
    <t xml:space="preserve">ZM5104</t>
  </si>
  <si>
    <t xml:space="preserve">ZM5105</t>
  </si>
  <si>
    <t xml:space="preserve">ZM5106</t>
  </si>
  <si>
    <t xml:space="preserve">ZM5107</t>
  </si>
  <si>
    <t xml:space="preserve">ZM5108</t>
  </si>
  <si>
    <t xml:space="preserve">ZM5109</t>
  </si>
  <si>
    <t xml:space="preserve">ZM5110</t>
  </si>
  <si>
    <t xml:space="preserve">ZM5111</t>
  </si>
  <si>
    <t xml:space="preserve">ZM5112</t>
  </si>
  <si>
    <t xml:space="preserve">ZM5113</t>
  </si>
  <si>
    <t xml:space="preserve">ZM5114</t>
  </si>
  <si>
    <t xml:space="preserve">ZM5115</t>
  </si>
  <si>
    <t xml:space="preserve">ZM5116</t>
  </si>
  <si>
    <t xml:space="preserve">ZM5117</t>
  </si>
  <si>
    <t xml:space="preserve">ZM5118</t>
  </si>
  <si>
    <t xml:space="preserve">ZM5119</t>
  </si>
  <si>
    <t xml:space="preserve">ZM5120</t>
  </si>
  <si>
    <t xml:space="preserve">ZM5121</t>
  </si>
  <si>
    <t xml:space="preserve">ZM5122</t>
  </si>
  <si>
    <t xml:space="preserve">ZM5123</t>
  </si>
  <si>
    <t xml:space="preserve">ZM5124</t>
  </si>
  <si>
    <t xml:space="preserve">ZM5125</t>
  </si>
  <si>
    <t xml:space="preserve">ZM5126</t>
  </si>
  <si>
    <t xml:space="preserve">ZM5127</t>
  </si>
  <si>
    <t xml:space="preserve">ZM5128</t>
  </si>
  <si>
    <t xml:space="preserve">ZM5129</t>
  </si>
  <si>
    <t xml:space="preserve">ZM5130</t>
  </si>
  <si>
    <t xml:space="preserve">ZM5131</t>
  </si>
  <si>
    <t xml:space="preserve">ZM5132</t>
  </si>
  <si>
    <t xml:space="preserve">ZM5133</t>
  </si>
  <si>
    <t xml:space="preserve">ZM5134</t>
  </si>
  <si>
    <t xml:space="preserve">ZM5135</t>
  </si>
  <si>
    <t xml:space="preserve">ZM5136</t>
  </si>
  <si>
    <t xml:space="preserve">ZM5137</t>
  </si>
  <si>
    <t xml:space="preserve">ZM5138</t>
  </si>
  <si>
    <t xml:space="preserve">ZM5139</t>
  </si>
  <si>
    <t xml:space="preserve">ZM5140</t>
  </si>
  <si>
    <t xml:space="preserve">ZM5141</t>
  </si>
  <si>
    <t xml:space="preserve">ZM5142</t>
  </si>
  <si>
    <t xml:space="preserve">ZM5143</t>
  </si>
  <si>
    <t xml:space="preserve">ZM5144</t>
  </si>
  <si>
    <t xml:space="preserve">ZM5145</t>
  </si>
  <si>
    <t xml:space="preserve">ZM5146</t>
  </si>
  <si>
    <t xml:space="preserve">ZM5147</t>
  </si>
  <si>
    <t xml:space="preserve">ZM5148</t>
  </si>
  <si>
    <t xml:space="preserve">ZM5149</t>
  </si>
  <si>
    <t xml:space="preserve">ZM5150</t>
  </si>
  <si>
    <t xml:space="preserve">ZM5151</t>
  </si>
  <si>
    <t xml:space="preserve">ZM5152</t>
  </si>
  <si>
    <t xml:space="preserve">ZM5153</t>
  </si>
  <si>
    <t xml:space="preserve">ZM5154</t>
  </si>
  <si>
    <t xml:space="preserve">ZM5155</t>
  </si>
  <si>
    <t xml:space="preserve">ZM5156</t>
  </si>
  <si>
    <t xml:space="preserve">ZM5157</t>
  </si>
  <si>
    <t xml:space="preserve">ZM5158</t>
  </si>
  <si>
    <t xml:space="preserve">ZM5159</t>
  </si>
  <si>
    <t xml:space="preserve">ZM5160</t>
  </si>
  <si>
    <t xml:space="preserve">ZM5161</t>
  </si>
  <si>
    <t xml:space="preserve">ZM5162</t>
  </si>
  <si>
    <t xml:space="preserve">ZM5163</t>
  </si>
  <si>
    <t xml:space="preserve">ZM5164</t>
  </si>
  <si>
    <t xml:space="preserve">ZM5165</t>
  </si>
  <si>
    <t xml:space="preserve">ZM5166</t>
  </si>
  <si>
    <t xml:space="preserve">ZM5167</t>
  </si>
  <si>
    <t xml:space="preserve">ZM5168</t>
  </si>
  <si>
    <t xml:space="preserve">ZM5169</t>
  </si>
  <si>
    <t xml:space="preserve">ZM5170</t>
  </si>
  <si>
    <t xml:space="preserve">ZM5171</t>
  </si>
  <si>
    <t xml:space="preserve">ZM5172</t>
  </si>
  <si>
    <t xml:space="preserve">ZM5173</t>
  </si>
  <si>
    <t xml:space="preserve">ZM5174</t>
  </si>
  <si>
    <t xml:space="preserve">ZM5175</t>
  </si>
  <si>
    <t xml:space="preserve">HEADER  -  logo | dashboard title | date / city filter</t>
  </si>
  <si>
    <t xml:space="preserve">KPI 1
MIN order value</t>
  </si>
  <si>
    <t xml:space="preserve">KPI 2
MAX order value</t>
  </si>
  <si>
    <t xml:space="preserve">KPI 3
AVERAGE order value</t>
  </si>
  <si>
    <t xml:space="preserve">TRENDS
Waterfall: month-on-month change in orders
(+ line chart of daily / monthly sales)</t>
  </si>
  <si>
    <t xml:space="preserve">INSIGHT CHART
Donut: cuisine share of orders</t>
  </si>
  <si>
    <t xml:space="preserve">INSIGHTS
Auto-generated text: top cuisine, best month, highest order</t>
  </si>
  <si>
    <t xml:space="preserve">FOOTER  -  data source, last refreshed, notes</t>
  </si>
  <si>
    <t xml:space="preserve">Reading order: Header -&gt; KPIs (what happened) -&gt; Trends (how it changed) -&gt; Insights (why it matters).</t>
  </si>
  <si>
    <t xml:space="preserve">MIN ORDER VALUE</t>
  </si>
  <si>
    <t xml:space="preserve">MAX ORDER VALUE</t>
  </si>
  <si>
    <t xml:space="preserve">AVERAGE ORDER VALUE</t>
  </si>
  <si>
    <t xml:space="preserve">Formulas read the Order Amount column on the Data sheet, so cards update when data changes.</t>
  </si>
  <si>
    <t xml:space="preserve">Orders</t>
  </si>
  <si>
    <t xml:space="preserve">Share</t>
  </si>
  <si>
    <t xml:space="preserve">Total</t>
  </si>
  <si>
    <t xml:space="preserve">Month</t>
  </si>
  <si>
    <t xml:space="preserve">Month start</t>
  </si>
  <si>
    <t xml:space="preserve">Total orders</t>
  </si>
  <si>
    <t xml:space="preserve">Change vs previous</t>
  </si>
  <si>
    <t xml:space="preserve">Base (hidden)</t>
  </si>
  <si>
    <t xml:space="preserve">Increase</t>
  </si>
  <si>
    <t xml:space="preserve">Decrease</t>
  </si>
  <si>
    <t xml:space="preserve">Mar (start)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</si>
  <si>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</si>
  <si>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</si>
  <si>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</si>
  <si>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</si>
  <si>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</si>
  <si>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 (end)</t>
  </si>
  <si>
    <t xml:space="preserve">Chart legend: blue = total, green = increase, red = decrease. The 'Base' series is invisible and lifts each floating bar to the previous month's level.</t>
  </si>
  <si>
    <t xml:space="preserve">ZOMATO-STYLE FOOD DELIVERY ANALYTICS  |  Mar - Sep 2026</t>
  </si>
  <si>
    <t xml:space="preserve">INSIGHTS</t>
  </si>
  <si>
    <t xml:space="preserve">Palette: Spotify-inspired  -  black #191414 (structure), green #1DB954 (highlight / growth), grey #535353 (neutral), red #E22134 (decline only)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</si>
</sst>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&quot;Rs &quot;#,##0"/>
    <numFmt numFmtId="168" formatCode="0.0%"/>
    <numFmt numFmtId="169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91414"/>
      <name val="Arial"/>
      <family val="0"/>
      <charset val="1"/>
    </font>
    <font>
      <sz val="9"/>
      <color rgb="FF535353"/>
      <name val="Arial"/>
      <family val="0"/>
      <charset val="1"/>
    </font>
    <font>
      <i val="true"/>
      <sz val="10"/>
      <color rgb="FF535353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DB95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91414"/>
      <name val="Arial"/>
      <family val="0"/>
      <charset val="1"/>
    </font>
    <font>
      <sz val="8"/>
      <color rgb="FF535353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191414"/>
        <bgColor rgb="FF000000"/>
      </patternFill>
    </fill>
    <fill>
      <patternFill patternType="solid">
        <fgColor rgb="FF535353"/>
        <bgColor rgb="FF595959"/>
      </patternFill>
    </fill>
    <fill>
      <patternFill patternType="solid">
        <fgColor rgb="FFBDD7EE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1DB954"/>
        <bgColor rgb="FF1ED76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22134"/>
      <rgbColor rgb="FF00FF00"/>
      <rgbColor rgb="FF0000FF"/>
      <rgbColor rgb="FFFFFF00"/>
      <rgbColor rgb="FFFF00FF"/>
      <rgbColor rgb="FF00FFFF"/>
      <rgbColor rgb="FF800000"/>
      <rgbColor rgb="FF0B7A33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D9D9D9"/>
      <rgbColor rgb="FF4F81BD"/>
      <rgbColor rgb="FF1ED760"/>
      <rgbColor rgb="FF99CC00"/>
      <rgbColor rgb="FFFFCC00"/>
      <rgbColor rgb="FFFF9900"/>
      <rgbColor rgb="FFFF6600"/>
      <rgbColor rgb="FF595959"/>
      <rgbColor rgb="FFB3B3B3"/>
      <rgbColor rgb="FF1F3864"/>
      <rgbColor rgb="FF1DB954"/>
      <rgbColor rgb="FF191414"/>
      <rgbColor rgb="FF333300"/>
      <rgbColor rgb="FF993300"/>
      <rgbColor rgb="FF993366"/>
      <rgbColor rgb="FF333399"/>
      <rgbColor rgb="FF5353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cuisine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T3_Donut!B1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db954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ed760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b7a33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535353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b3b3b3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T3_Donut!$A$2:$A$6</c:f>
              <c:strCache>
                <c:ptCount val="5"/>
                <c:pt idx="0">
                  <c:v>Indian</c:v>
                </c:pt>
                <c:pt idx="1">
                  <c:v>Fast Food</c:v>
                </c:pt>
                <c:pt idx="2">
                  <c:v>Italian</c:v>
                </c:pt>
                <c:pt idx="3">
                  <c:v>Chinese</c:v>
                </c:pt>
                <c:pt idx="4">
                  <c:v>Desserts</c:v>
                </c:pt>
              </c:strCache>
            </c:strRef>
          </c:cat>
          <c:val>
            <c:numRef>
              <c:f>T3_Donut!$B$2:$B$6</c:f>
              <c:numCache>
                <c:formatCode>General</c:formatCode>
                <c:ptCount val="5"/>
                <c:pt idx="0">
                  <c:v>53</c:v>
                </c:pt>
                <c:pt idx="1">
                  <c:v>40</c:v>
                </c:pt>
                <c:pt idx="2">
                  <c:v>34</c:v>
                </c:pt>
                <c:pt idx="3">
                  <c:v>25</c:v>
                </c:pt>
                <c:pt idx="4">
                  <c:v>23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Month-on-month change in total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T4_Waterfall!E1</c:f>
              <c:strCache>
                <c:ptCount val="1"/>
                <c:pt idx="0">
                  <c:v>Base (hidden)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T4_Waterfall!$A$2:$A$8</c:f>
              <c:strCache>
                <c:ptCount val="7"/>
                <c:pt idx="0">
                  <c:v>Mar (start)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 (end)</c:v>
                </c:pt>
              </c:strCache>
            </c:strRef>
          </c:cat>
          <c:val>
            <c:numRef>
              <c:f>T4_Waterfall!$E$2:$E$8</c:f>
              <c:numCache>
                <c:formatCode>General</c:formatCode>
                <c:ptCount val="7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21</c:v>
                </c:pt>
                <c:pt idx="4">
                  <c:v>25</c:v>
                </c:pt>
                <c:pt idx="5">
                  <c:v>25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T4_Waterfall!F1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9141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T4_Waterfall!$A$2:$A$8</c:f>
              <c:strCache>
                <c:ptCount val="7"/>
                <c:pt idx="0">
                  <c:v>Mar (start)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 (end)</c:v>
                </c:pt>
              </c:strCache>
            </c:strRef>
          </c:cat>
          <c:val>
            <c:numRef>
              <c:f>T4_Waterfall!$F$2:$F$8</c:f>
              <c:numCache>
                <c:formatCode>General</c:formatCode>
                <c:ptCount val="7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29</c:v>
                </c:pt>
              </c:numCache>
            </c:numRef>
          </c:val>
        </c:ser>
        <c:ser>
          <c:idx val="2"/>
          <c:order val="2"/>
          <c:tx>
            <c:strRef>
              <c:f>T4_Waterfall!G1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1db95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T4_Waterfall!$A$2:$A$8</c:f>
              <c:strCache>
                <c:ptCount val="7"/>
                <c:pt idx="0">
                  <c:v>Mar (start)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 (end)</c:v>
                </c:pt>
              </c:strCache>
            </c:strRef>
          </c:cat>
          <c:val>
            <c:numRef>
              <c:f>T4_Waterfall!$G$2:$G$8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6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T4_Waterfall!H1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e221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T4_Waterfall!$A$2:$A$8</c:f>
              <c:strCache>
                <c:ptCount val="7"/>
                <c:pt idx="0">
                  <c:v>Mar (start)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 (end)</c:v>
                </c:pt>
              </c:strCache>
            </c:strRef>
          </c:cat>
          <c:val>
            <c:numRef>
              <c:f>T4_Waterfall!$H$2:$H$8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60"/>
        <c:overlap val="100"/>
        <c:axId val="95320893"/>
        <c:axId val="457747"/>
      </c:barChart>
      <c:catAx>
        <c:axId val="953208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747"/>
        <c:crosses val="autoZero"/>
        <c:auto val="1"/>
        <c:lblAlgn val="ctr"/>
        <c:lblOffset val="100"/>
        <c:noMultiLvlLbl val="0"/>
      </c:catAx>
      <c:valAx>
        <c:axId val="4577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208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cuisine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T3_Donut!B1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db954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ed760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b7a33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535353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b3b3b3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T3_Donut!$A$2:$A$6</c:f>
              <c:strCache>
                <c:ptCount val="5"/>
                <c:pt idx="0">
                  <c:v>Indian</c:v>
                </c:pt>
                <c:pt idx="1">
                  <c:v>Fast Food</c:v>
                </c:pt>
                <c:pt idx="2">
                  <c:v>Italian</c:v>
                </c:pt>
                <c:pt idx="3">
                  <c:v>Chinese</c:v>
                </c:pt>
                <c:pt idx="4">
                  <c:v>Desserts</c:v>
                </c:pt>
              </c:strCache>
            </c:strRef>
          </c:cat>
          <c:val>
            <c:numRef>
              <c:f>T3_Donut!$B$2:$B$6</c:f>
              <c:numCache>
                <c:formatCode>General</c:formatCode>
                <c:ptCount val="5"/>
                <c:pt idx="0">
                  <c:v>53</c:v>
                </c:pt>
                <c:pt idx="1">
                  <c:v>40</c:v>
                </c:pt>
                <c:pt idx="2">
                  <c:v>34</c:v>
                </c:pt>
                <c:pt idx="3">
                  <c:v>25</c:v>
                </c:pt>
                <c:pt idx="4">
                  <c:v>23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Month-on-month change in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T4_Waterfall!E1</c:f>
              <c:strCache>
                <c:ptCount val="1"/>
                <c:pt idx="0">
                  <c:v>Base (hidden)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T4_Waterfall!$A$2:$A$8</c:f>
              <c:strCache>
                <c:ptCount val="7"/>
                <c:pt idx="0">
                  <c:v>Mar (start)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 (end)</c:v>
                </c:pt>
              </c:strCache>
            </c:strRef>
          </c:cat>
          <c:val>
            <c:numRef>
              <c:f>T4_Waterfall!$E$2:$E$8</c:f>
              <c:numCache>
                <c:formatCode>General</c:formatCode>
                <c:ptCount val="7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21</c:v>
                </c:pt>
                <c:pt idx="4">
                  <c:v>25</c:v>
                </c:pt>
                <c:pt idx="5">
                  <c:v>25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T4_Waterfall!F1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9141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T4_Waterfall!$A$2:$A$8</c:f>
              <c:strCache>
                <c:ptCount val="7"/>
                <c:pt idx="0">
                  <c:v>Mar (start)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 (end)</c:v>
                </c:pt>
              </c:strCache>
            </c:strRef>
          </c:cat>
          <c:val>
            <c:numRef>
              <c:f>T4_Waterfall!$F$2:$F$8</c:f>
              <c:numCache>
                <c:formatCode>General</c:formatCode>
                <c:ptCount val="7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29</c:v>
                </c:pt>
              </c:numCache>
            </c:numRef>
          </c:val>
        </c:ser>
        <c:ser>
          <c:idx val="2"/>
          <c:order val="2"/>
          <c:tx>
            <c:strRef>
              <c:f>T4_Waterfall!G1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1db95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T4_Waterfall!$A$2:$A$8</c:f>
              <c:strCache>
                <c:ptCount val="7"/>
                <c:pt idx="0">
                  <c:v>Mar (start)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 (end)</c:v>
                </c:pt>
              </c:strCache>
            </c:strRef>
          </c:cat>
          <c:val>
            <c:numRef>
              <c:f>T4_Waterfall!$G$2:$G$8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6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T4_Waterfall!H1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e221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T4_Waterfall!$A$2:$A$8</c:f>
              <c:strCache>
                <c:ptCount val="7"/>
                <c:pt idx="0">
                  <c:v>Mar (start)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 (end)</c:v>
                </c:pt>
              </c:strCache>
            </c:strRef>
          </c:cat>
          <c:val>
            <c:numRef>
              <c:f>T4_Waterfall!$H$2:$H$8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60"/>
        <c:overlap val="100"/>
        <c:axId val="91817967"/>
        <c:axId val="75459467"/>
      </c:barChart>
      <c:catAx>
        <c:axId val="9181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59467"/>
        <c:crosses val="autoZero"/>
        <c:auto val="1"/>
        <c:lblAlgn val="ctr"/>
        <c:lblOffset val="100"/>
        <c:noMultiLvlLbl val="0"/>
      </c:catAx>
      <c:valAx>
        <c:axId val="754594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179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10</xdr:col>
      <xdr:colOff>290520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3853800" y="190440"/>
        <a:ext cx="3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3</xdr:col>
      <xdr:colOff>762840</xdr:colOff>
      <xdr:row>28</xdr:row>
      <xdr:rowOff>1080</xdr:rowOff>
    </xdr:to>
    <xdr:graphicFrame>
      <xdr:nvGraphicFramePr>
        <xdr:cNvPr id="1" name="Chart 1"/>
        <xdr:cNvGraphicFramePr/>
      </xdr:nvGraphicFramePr>
      <xdr:xfrm>
        <a:off x="0" y="20955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0</xdr:rowOff>
    </xdr:from>
    <xdr:to>
      <xdr:col>5</xdr:col>
      <xdr:colOff>494280</xdr:colOff>
      <xdr:row>22</xdr:row>
      <xdr:rowOff>94320</xdr:rowOff>
    </xdr:to>
    <xdr:graphicFrame>
      <xdr:nvGraphicFramePr>
        <xdr:cNvPr id="2" name="Chart 1"/>
        <xdr:cNvGraphicFramePr/>
      </xdr:nvGraphicFramePr>
      <xdr:xfrm>
        <a:off x="141120" y="1676520"/>
        <a:ext cx="3455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0</xdr:rowOff>
    </xdr:from>
    <xdr:to>
      <xdr:col>14</xdr:col>
      <xdr:colOff>360720</xdr:colOff>
      <xdr:row>22</xdr:row>
      <xdr:rowOff>94320</xdr:rowOff>
    </xdr:to>
    <xdr:graphicFrame>
      <xdr:nvGraphicFramePr>
        <xdr:cNvPr id="3" name="Chart 2"/>
        <xdr:cNvGraphicFramePr/>
      </xdr:nvGraphicFramePr>
      <xdr:xfrm>
        <a:off x="4583520" y="1676520"/>
        <a:ext cx="5543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3.8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23.8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35.0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35.05" hidden="false" customHeight="false" outlineLevel="0" collapsed="false">
      <c r="A9" s="4" t="s">
        <v>22</v>
      </c>
      <c r="B9" s="4" t="s">
        <v>23</v>
      </c>
      <c r="C9" s="4" t="s">
        <v>24</v>
      </c>
      <c r="D9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</row>
    <row r="2" customFormat="false" ht="15" hidden="false" customHeight="false" outlineLevel="0" collapsed="false">
      <c r="A2" s="5" t="s">
        <v>31</v>
      </c>
      <c r="B2" s="6" t="n">
        <v>46097</v>
      </c>
      <c r="C2" s="5" t="s">
        <v>32</v>
      </c>
      <c r="D2" s="5" t="s">
        <v>33</v>
      </c>
      <c r="E2" s="7" t="n">
        <v>1390</v>
      </c>
    </row>
    <row r="3" customFormat="false" ht="15" hidden="false" customHeight="false" outlineLevel="0" collapsed="false">
      <c r="A3" s="5" t="s">
        <v>34</v>
      </c>
      <c r="B3" s="6" t="n">
        <v>46095</v>
      </c>
      <c r="C3" s="5" t="s">
        <v>35</v>
      </c>
      <c r="D3" s="5" t="s">
        <v>36</v>
      </c>
      <c r="E3" s="7" t="n">
        <v>740</v>
      </c>
    </row>
    <row r="4" customFormat="false" ht="15" hidden="false" customHeight="false" outlineLevel="0" collapsed="false">
      <c r="A4" s="5" t="s">
        <v>37</v>
      </c>
      <c r="B4" s="6" t="n">
        <v>46082</v>
      </c>
      <c r="C4" s="5" t="s">
        <v>38</v>
      </c>
      <c r="D4" s="5" t="s">
        <v>39</v>
      </c>
      <c r="E4" s="7" t="n">
        <v>1200</v>
      </c>
    </row>
    <row r="5" customFormat="false" ht="15" hidden="false" customHeight="false" outlineLevel="0" collapsed="false">
      <c r="A5" s="5" t="s">
        <v>40</v>
      </c>
      <c r="B5" s="6" t="n">
        <v>46089</v>
      </c>
      <c r="C5" s="5" t="s">
        <v>35</v>
      </c>
      <c r="D5" s="5" t="s">
        <v>36</v>
      </c>
      <c r="E5" s="7" t="n">
        <v>720</v>
      </c>
    </row>
    <row r="6" customFormat="false" ht="15" hidden="false" customHeight="false" outlineLevel="0" collapsed="false">
      <c r="A6" s="5" t="s">
        <v>41</v>
      </c>
      <c r="B6" s="6" t="n">
        <v>46091</v>
      </c>
      <c r="C6" s="5" t="s">
        <v>42</v>
      </c>
      <c r="D6" s="5" t="s">
        <v>39</v>
      </c>
      <c r="E6" s="7" t="n">
        <v>930</v>
      </c>
    </row>
    <row r="7" customFormat="false" ht="15" hidden="false" customHeight="false" outlineLevel="0" collapsed="false">
      <c r="A7" s="5" t="s">
        <v>43</v>
      </c>
      <c r="B7" s="6" t="n">
        <v>46103</v>
      </c>
      <c r="C7" s="5" t="s">
        <v>32</v>
      </c>
      <c r="D7" s="5" t="s">
        <v>33</v>
      </c>
      <c r="E7" s="7" t="n">
        <v>520</v>
      </c>
    </row>
    <row r="8" customFormat="false" ht="15" hidden="false" customHeight="false" outlineLevel="0" collapsed="false">
      <c r="A8" s="5" t="s">
        <v>44</v>
      </c>
      <c r="B8" s="6" t="n">
        <v>46082</v>
      </c>
      <c r="C8" s="5" t="s">
        <v>35</v>
      </c>
      <c r="D8" s="5" t="s">
        <v>36</v>
      </c>
      <c r="E8" s="7" t="n">
        <v>720</v>
      </c>
    </row>
    <row r="9" customFormat="false" ht="15" hidden="false" customHeight="false" outlineLevel="0" collapsed="false">
      <c r="A9" s="5" t="s">
        <v>45</v>
      </c>
      <c r="B9" s="6" t="n">
        <v>46082</v>
      </c>
      <c r="C9" s="5" t="s">
        <v>35</v>
      </c>
      <c r="D9" s="5" t="s">
        <v>36</v>
      </c>
      <c r="E9" s="7" t="n">
        <v>550</v>
      </c>
    </row>
    <row r="10" customFormat="false" ht="15" hidden="false" customHeight="false" outlineLevel="0" collapsed="false">
      <c r="A10" s="5" t="s">
        <v>46</v>
      </c>
      <c r="B10" s="6" t="n">
        <v>46096</v>
      </c>
      <c r="C10" s="5" t="s">
        <v>42</v>
      </c>
      <c r="D10" s="5" t="s">
        <v>39</v>
      </c>
      <c r="E10" s="7" t="n">
        <v>1320</v>
      </c>
    </row>
    <row r="11" customFormat="false" ht="15" hidden="false" customHeight="false" outlineLevel="0" collapsed="false">
      <c r="A11" s="5" t="s">
        <v>47</v>
      </c>
      <c r="B11" s="6" t="n">
        <v>46089</v>
      </c>
      <c r="C11" s="5" t="s">
        <v>35</v>
      </c>
      <c r="D11" s="5" t="s">
        <v>36</v>
      </c>
      <c r="E11" s="7" t="n">
        <v>950</v>
      </c>
    </row>
    <row r="12" customFormat="false" ht="15" hidden="false" customHeight="false" outlineLevel="0" collapsed="false">
      <c r="A12" s="5" t="s">
        <v>48</v>
      </c>
      <c r="B12" s="6" t="n">
        <v>46090</v>
      </c>
      <c r="C12" s="5" t="s">
        <v>32</v>
      </c>
      <c r="D12" s="5" t="s">
        <v>33</v>
      </c>
      <c r="E12" s="7" t="n">
        <v>1230</v>
      </c>
    </row>
    <row r="13" customFormat="false" ht="15" hidden="false" customHeight="false" outlineLevel="0" collapsed="false">
      <c r="A13" s="5" t="s">
        <v>49</v>
      </c>
      <c r="B13" s="6" t="n">
        <v>46093</v>
      </c>
      <c r="C13" s="5" t="s">
        <v>50</v>
      </c>
      <c r="D13" s="5" t="s">
        <v>51</v>
      </c>
      <c r="E13" s="7" t="n">
        <v>1420</v>
      </c>
    </row>
    <row r="14" customFormat="false" ht="15" hidden="false" customHeight="false" outlineLevel="0" collapsed="false">
      <c r="A14" s="5" t="s">
        <v>52</v>
      </c>
      <c r="B14" s="6" t="n">
        <v>46098</v>
      </c>
      <c r="C14" s="5" t="s">
        <v>53</v>
      </c>
      <c r="D14" s="5" t="s">
        <v>54</v>
      </c>
      <c r="E14" s="7" t="n">
        <v>600</v>
      </c>
    </row>
    <row r="15" customFormat="false" ht="15" hidden="false" customHeight="false" outlineLevel="0" collapsed="false">
      <c r="A15" s="5" t="s">
        <v>55</v>
      </c>
      <c r="B15" s="6" t="n">
        <v>46100</v>
      </c>
      <c r="C15" s="5" t="s">
        <v>35</v>
      </c>
      <c r="D15" s="5" t="s">
        <v>36</v>
      </c>
      <c r="E15" s="7" t="n">
        <v>270</v>
      </c>
    </row>
    <row r="16" customFormat="false" ht="15" hidden="false" customHeight="false" outlineLevel="0" collapsed="false">
      <c r="A16" s="5" t="s">
        <v>56</v>
      </c>
      <c r="B16" s="6" t="n">
        <v>46084</v>
      </c>
      <c r="C16" s="5" t="s">
        <v>35</v>
      </c>
      <c r="D16" s="5" t="s">
        <v>36</v>
      </c>
      <c r="E16" s="7" t="n">
        <v>170</v>
      </c>
    </row>
    <row r="17" customFormat="false" ht="15" hidden="false" customHeight="false" outlineLevel="0" collapsed="false">
      <c r="A17" s="5" t="s">
        <v>57</v>
      </c>
      <c r="B17" s="6" t="n">
        <v>46089</v>
      </c>
      <c r="C17" s="5" t="s">
        <v>32</v>
      </c>
      <c r="D17" s="5" t="s">
        <v>33</v>
      </c>
      <c r="E17" s="7" t="n">
        <v>1410</v>
      </c>
    </row>
    <row r="18" customFormat="false" ht="15" hidden="false" customHeight="false" outlineLevel="0" collapsed="false">
      <c r="A18" s="5" t="s">
        <v>58</v>
      </c>
      <c r="B18" s="6" t="n">
        <v>46091</v>
      </c>
      <c r="C18" s="5" t="s">
        <v>59</v>
      </c>
      <c r="D18" s="5" t="s">
        <v>51</v>
      </c>
      <c r="E18" s="7" t="n">
        <v>930</v>
      </c>
    </row>
    <row r="19" customFormat="false" ht="15" hidden="false" customHeight="false" outlineLevel="0" collapsed="false">
      <c r="A19" s="5" t="s">
        <v>60</v>
      </c>
      <c r="B19" s="6" t="n">
        <v>46096</v>
      </c>
      <c r="C19" s="5" t="s">
        <v>32</v>
      </c>
      <c r="D19" s="5" t="s">
        <v>33</v>
      </c>
      <c r="E19" s="7" t="n">
        <v>1320</v>
      </c>
    </row>
    <row r="20" customFormat="false" ht="15" hidden="false" customHeight="false" outlineLevel="0" collapsed="false">
      <c r="A20" s="5" t="s">
        <v>61</v>
      </c>
      <c r="B20" s="6" t="n">
        <v>46118</v>
      </c>
      <c r="C20" s="5" t="s">
        <v>50</v>
      </c>
      <c r="D20" s="5" t="s">
        <v>51</v>
      </c>
      <c r="E20" s="7" t="n">
        <v>1390</v>
      </c>
    </row>
    <row r="21" customFormat="false" ht="15" hidden="false" customHeight="false" outlineLevel="0" collapsed="false">
      <c r="A21" s="5" t="s">
        <v>62</v>
      </c>
      <c r="B21" s="6" t="n">
        <v>46127</v>
      </c>
      <c r="C21" s="5" t="s">
        <v>42</v>
      </c>
      <c r="D21" s="5" t="s">
        <v>39</v>
      </c>
      <c r="E21" s="7" t="n">
        <v>1410</v>
      </c>
    </row>
    <row r="22" customFormat="false" ht="15" hidden="false" customHeight="false" outlineLevel="0" collapsed="false">
      <c r="A22" s="5" t="s">
        <v>63</v>
      </c>
      <c r="B22" s="6" t="n">
        <v>46142</v>
      </c>
      <c r="C22" s="5" t="s">
        <v>42</v>
      </c>
      <c r="D22" s="5" t="s">
        <v>39</v>
      </c>
      <c r="E22" s="7" t="n">
        <v>1370</v>
      </c>
    </row>
    <row r="23" customFormat="false" ht="15" hidden="false" customHeight="false" outlineLevel="0" collapsed="false">
      <c r="A23" s="5" t="s">
        <v>64</v>
      </c>
      <c r="B23" s="6" t="n">
        <v>46127</v>
      </c>
      <c r="C23" s="5" t="s">
        <v>50</v>
      </c>
      <c r="D23" s="5" t="s">
        <v>51</v>
      </c>
      <c r="E23" s="7" t="n">
        <v>360</v>
      </c>
    </row>
    <row r="24" customFormat="false" ht="15" hidden="false" customHeight="false" outlineLevel="0" collapsed="false">
      <c r="A24" s="5" t="s">
        <v>65</v>
      </c>
      <c r="B24" s="6" t="n">
        <v>46133</v>
      </c>
      <c r="C24" s="5" t="s">
        <v>38</v>
      </c>
      <c r="D24" s="5" t="s">
        <v>39</v>
      </c>
      <c r="E24" s="7" t="n">
        <v>210</v>
      </c>
    </row>
    <row r="25" customFormat="false" ht="15" hidden="false" customHeight="false" outlineLevel="0" collapsed="false">
      <c r="A25" s="5" t="s">
        <v>66</v>
      </c>
      <c r="B25" s="6" t="n">
        <v>46135</v>
      </c>
      <c r="C25" s="5" t="s">
        <v>59</v>
      </c>
      <c r="D25" s="5" t="s">
        <v>51</v>
      </c>
      <c r="E25" s="7" t="n">
        <v>750</v>
      </c>
    </row>
    <row r="26" customFormat="false" ht="15" hidden="false" customHeight="false" outlineLevel="0" collapsed="false">
      <c r="A26" s="5" t="s">
        <v>67</v>
      </c>
      <c r="B26" s="6" t="n">
        <v>46141</v>
      </c>
      <c r="C26" s="5" t="s">
        <v>53</v>
      </c>
      <c r="D26" s="5" t="s">
        <v>54</v>
      </c>
      <c r="E26" s="7" t="n">
        <v>1100</v>
      </c>
    </row>
    <row r="27" customFormat="false" ht="15" hidden="false" customHeight="false" outlineLevel="0" collapsed="false">
      <c r="A27" s="5" t="s">
        <v>68</v>
      </c>
      <c r="B27" s="6" t="n">
        <v>46130</v>
      </c>
      <c r="C27" s="5" t="s">
        <v>42</v>
      </c>
      <c r="D27" s="5" t="s">
        <v>39</v>
      </c>
      <c r="E27" s="7" t="n">
        <v>270</v>
      </c>
    </row>
    <row r="28" customFormat="false" ht="15" hidden="false" customHeight="false" outlineLevel="0" collapsed="false">
      <c r="A28" s="5" t="s">
        <v>69</v>
      </c>
      <c r="B28" s="6" t="n">
        <v>46132</v>
      </c>
      <c r="C28" s="5" t="s">
        <v>53</v>
      </c>
      <c r="D28" s="5" t="s">
        <v>54</v>
      </c>
      <c r="E28" s="7" t="n">
        <v>970</v>
      </c>
    </row>
    <row r="29" customFormat="false" ht="15" hidden="false" customHeight="false" outlineLevel="0" collapsed="false">
      <c r="A29" s="5" t="s">
        <v>70</v>
      </c>
      <c r="B29" s="6" t="n">
        <v>46129</v>
      </c>
      <c r="C29" s="5" t="s">
        <v>38</v>
      </c>
      <c r="D29" s="5" t="s">
        <v>39</v>
      </c>
      <c r="E29" s="7" t="n">
        <v>340</v>
      </c>
    </row>
    <row r="30" customFormat="false" ht="15" hidden="false" customHeight="false" outlineLevel="0" collapsed="false">
      <c r="A30" s="5" t="s">
        <v>71</v>
      </c>
      <c r="B30" s="6" t="n">
        <v>46123</v>
      </c>
      <c r="C30" s="5" t="s">
        <v>72</v>
      </c>
      <c r="D30" s="5" t="s">
        <v>36</v>
      </c>
      <c r="E30" s="7" t="n">
        <v>410</v>
      </c>
    </row>
    <row r="31" customFormat="false" ht="15" hidden="false" customHeight="false" outlineLevel="0" collapsed="false">
      <c r="A31" s="5" t="s">
        <v>73</v>
      </c>
      <c r="B31" s="6" t="n">
        <v>46130</v>
      </c>
      <c r="C31" s="5" t="s">
        <v>50</v>
      </c>
      <c r="D31" s="5" t="s">
        <v>51</v>
      </c>
      <c r="E31" s="7" t="n">
        <v>470</v>
      </c>
    </row>
    <row r="32" customFormat="false" ht="15" hidden="false" customHeight="false" outlineLevel="0" collapsed="false">
      <c r="A32" s="5" t="s">
        <v>74</v>
      </c>
      <c r="B32" s="6" t="n">
        <v>46113</v>
      </c>
      <c r="C32" s="5" t="s">
        <v>72</v>
      </c>
      <c r="D32" s="5" t="s">
        <v>36</v>
      </c>
      <c r="E32" s="7" t="n">
        <v>1160</v>
      </c>
    </row>
    <row r="33" customFormat="false" ht="15" hidden="false" customHeight="false" outlineLevel="0" collapsed="false">
      <c r="A33" s="5" t="s">
        <v>75</v>
      </c>
      <c r="B33" s="6" t="n">
        <v>46142</v>
      </c>
      <c r="C33" s="5" t="s">
        <v>42</v>
      </c>
      <c r="D33" s="5" t="s">
        <v>39</v>
      </c>
      <c r="E33" s="7" t="n">
        <v>450</v>
      </c>
    </row>
    <row r="34" customFormat="false" ht="15" hidden="false" customHeight="false" outlineLevel="0" collapsed="false">
      <c r="A34" s="5" t="s">
        <v>76</v>
      </c>
      <c r="B34" s="6" t="n">
        <v>46140</v>
      </c>
      <c r="C34" s="5" t="s">
        <v>42</v>
      </c>
      <c r="D34" s="5" t="s">
        <v>39</v>
      </c>
      <c r="E34" s="7" t="n">
        <v>1160</v>
      </c>
    </row>
    <row r="35" customFormat="false" ht="15" hidden="false" customHeight="false" outlineLevel="0" collapsed="false">
      <c r="A35" s="5" t="s">
        <v>77</v>
      </c>
      <c r="B35" s="6" t="n">
        <v>46141</v>
      </c>
      <c r="C35" s="5" t="s">
        <v>59</v>
      </c>
      <c r="D35" s="5" t="s">
        <v>51</v>
      </c>
      <c r="E35" s="7" t="n">
        <v>810</v>
      </c>
    </row>
    <row r="36" customFormat="false" ht="15" hidden="false" customHeight="false" outlineLevel="0" collapsed="false">
      <c r="A36" s="5" t="s">
        <v>78</v>
      </c>
      <c r="B36" s="6" t="n">
        <v>46118</v>
      </c>
      <c r="C36" s="5" t="s">
        <v>72</v>
      </c>
      <c r="D36" s="5" t="s">
        <v>36</v>
      </c>
      <c r="E36" s="7" t="n">
        <v>180</v>
      </c>
    </row>
    <row r="37" customFormat="false" ht="15" hidden="false" customHeight="false" outlineLevel="0" collapsed="false">
      <c r="A37" s="5" t="s">
        <v>79</v>
      </c>
      <c r="B37" s="6" t="n">
        <v>46129</v>
      </c>
      <c r="C37" s="5" t="s">
        <v>72</v>
      </c>
      <c r="D37" s="5" t="s">
        <v>36</v>
      </c>
      <c r="E37" s="7" t="n">
        <v>780</v>
      </c>
    </row>
    <row r="38" customFormat="false" ht="15" hidden="false" customHeight="false" outlineLevel="0" collapsed="false">
      <c r="A38" s="5" t="s">
        <v>80</v>
      </c>
      <c r="B38" s="6" t="n">
        <v>46116</v>
      </c>
      <c r="C38" s="5" t="s">
        <v>50</v>
      </c>
      <c r="D38" s="5" t="s">
        <v>51</v>
      </c>
      <c r="E38" s="7" t="n">
        <v>530</v>
      </c>
    </row>
    <row r="39" customFormat="false" ht="15" hidden="false" customHeight="false" outlineLevel="0" collapsed="false">
      <c r="A39" s="5" t="s">
        <v>81</v>
      </c>
      <c r="B39" s="6" t="n">
        <v>46125</v>
      </c>
      <c r="C39" s="5" t="s">
        <v>35</v>
      </c>
      <c r="D39" s="5" t="s">
        <v>36</v>
      </c>
      <c r="E39" s="7" t="n">
        <v>1200</v>
      </c>
    </row>
    <row r="40" customFormat="false" ht="15" hidden="false" customHeight="false" outlineLevel="0" collapsed="false">
      <c r="A40" s="5" t="s">
        <v>82</v>
      </c>
      <c r="B40" s="6" t="n">
        <v>46125</v>
      </c>
      <c r="C40" s="5" t="s">
        <v>42</v>
      </c>
      <c r="D40" s="5" t="s">
        <v>39</v>
      </c>
      <c r="E40" s="7" t="n">
        <v>1340</v>
      </c>
    </row>
    <row r="41" customFormat="false" ht="15" hidden="false" customHeight="false" outlineLevel="0" collapsed="false">
      <c r="A41" s="5" t="s">
        <v>83</v>
      </c>
      <c r="B41" s="6" t="n">
        <v>46127</v>
      </c>
      <c r="C41" s="5" t="s">
        <v>38</v>
      </c>
      <c r="D41" s="5" t="s">
        <v>39</v>
      </c>
      <c r="E41" s="7" t="n">
        <v>820</v>
      </c>
    </row>
    <row r="42" customFormat="false" ht="15" hidden="false" customHeight="false" outlineLevel="0" collapsed="false">
      <c r="A42" s="5" t="s">
        <v>84</v>
      </c>
      <c r="B42" s="6" t="n">
        <v>46114</v>
      </c>
      <c r="C42" s="5" t="s">
        <v>42</v>
      </c>
      <c r="D42" s="5" t="s">
        <v>39</v>
      </c>
      <c r="E42" s="7" t="n">
        <v>230</v>
      </c>
    </row>
    <row r="43" customFormat="false" ht="15" hidden="false" customHeight="false" outlineLevel="0" collapsed="false">
      <c r="A43" s="5" t="s">
        <v>85</v>
      </c>
      <c r="B43" s="6" t="n">
        <v>46126</v>
      </c>
      <c r="C43" s="5" t="s">
        <v>72</v>
      </c>
      <c r="D43" s="5" t="s">
        <v>36</v>
      </c>
      <c r="E43" s="7" t="n">
        <v>810</v>
      </c>
    </row>
    <row r="44" customFormat="false" ht="15" hidden="false" customHeight="false" outlineLevel="0" collapsed="false">
      <c r="A44" s="5" t="s">
        <v>86</v>
      </c>
      <c r="B44" s="6" t="n">
        <v>46146</v>
      </c>
      <c r="C44" s="5" t="s">
        <v>53</v>
      </c>
      <c r="D44" s="5" t="s">
        <v>54</v>
      </c>
      <c r="E44" s="7" t="n">
        <v>710</v>
      </c>
    </row>
    <row r="45" customFormat="false" ht="15" hidden="false" customHeight="false" outlineLevel="0" collapsed="false">
      <c r="A45" s="5" t="s">
        <v>87</v>
      </c>
      <c r="B45" s="6" t="n">
        <v>46156</v>
      </c>
      <c r="C45" s="5" t="s">
        <v>50</v>
      </c>
      <c r="D45" s="5" t="s">
        <v>51</v>
      </c>
      <c r="E45" s="7" t="n">
        <v>430</v>
      </c>
    </row>
    <row r="46" customFormat="false" ht="15" hidden="false" customHeight="false" outlineLevel="0" collapsed="false">
      <c r="A46" s="5" t="s">
        <v>88</v>
      </c>
      <c r="B46" s="6" t="n">
        <v>46146</v>
      </c>
      <c r="C46" s="5" t="s">
        <v>35</v>
      </c>
      <c r="D46" s="5" t="s">
        <v>36</v>
      </c>
      <c r="E46" s="7" t="n">
        <v>1320</v>
      </c>
    </row>
    <row r="47" customFormat="false" ht="15" hidden="false" customHeight="false" outlineLevel="0" collapsed="false">
      <c r="A47" s="5" t="s">
        <v>89</v>
      </c>
      <c r="B47" s="6" t="n">
        <v>46147</v>
      </c>
      <c r="C47" s="5" t="s">
        <v>53</v>
      </c>
      <c r="D47" s="5" t="s">
        <v>54</v>
      </c>
      <c r="E47" s="7" t="n">
        <v>1180</v>
      </c>
    </row>
    <row r="48" customFormat="false" ht="15" hidden="false" customHeight="false" outlineLevel="0" collapsed="false">
      <c r="A48" s="5" t="s">
        <v>90</v>
      </c>
      <c r="B48" s="6" t="n">
        <v>46147</v>
      </c>
      <c r="C48" s="5" t="s">
        <v>72</v>
      </c>
      <c r="D48" s="5" t="s">
        <v>36</v>
      </c>
      <c r="E48" s="7" t="n">
        <v>490</v>
      </c>
    </row>
    <row r="49" customFormat="false" ht="15" hidden="false" customHeight="false" outlineLevel="0" collapsed="false">
      <c r="A49" s="5" t="s">
        <v>91</v>
      </c>
      <c r="B49" s="6" t="n">
        <v>46156</v>
      </c>
      <c r="C49" s="5" t="s">
        <v>53</v>
      </c>
      <c r="D49" s="5" t="s">
        <v>54</v>
      </c>
      <c r="E49" s="7" t="n">
        <v>1440</v>
      </c>
    </row>
    <row r="50" customFormat="false" ht="15" hidden="false" customHeight="false" outlineLevel="0" collapsed="false">
      <c r="A50" s="5" t="s">
        <v>92</v>
      </c>
      <c r="B50" s="6" t="n">
        <v>46155</v>
      </c>
      <c r="C50" s="5" t="s">
        <v>72</v>
      </c>
      <c r="D50" s="5" t="s">
        <v>36</v>
      </c>
      <c r="E50" s="7" t="n">
        <v>630</v>
      </c>
    </row>
    <row r="51" customFormat="false" ht="15" hidden="false" customHeight="false" outlineLevel="0" collapsed="false">
      <c r="A51" s="5" t="s">
        <v>93</v>
      </c>
      <c r="B51" s="6" t="n">
        <v>46164</v>
      </c>
      <c r="C51" s="5" t="s">
        <v>32</v>
      </c>
      <c r="D51" s="5" t="s">
        <v>33</v>
      </c>
      <c r="E51" s="7" t="n">
        <v>1420</v>
      </c>
    </row>
    <row r="52" customFormat="false" ht="15" hidden="false" customHeight="false" outlineLevel="0" collapsed="false">
      <c r="A52" s="5" t="s">
        <v>94</v>
      </c>
      <c r="B52" s="6" t="n">
        <v>46170</v>
      </c>
      <c r="C52" s="5" t="s">
        <v>59</v>
      </c>
      <c r="D52" s="5" t="s">
        <v>51</v>
      </c>
      <c r="E52" s="7" t="n">
        <v>1200</v>
      </c>
    </row>
    <row r="53" customFormat="false" ht="15" hidden="false" customHeight="false" outlineLevel="0" collapsed="false">
      <c r="A53" s="5" t="s">
        <v>95</v>
      </c>
      <c r="B53" s="6" t="n">
        <v>46164</v>
      </c>
      <c r="C53" s="5" t="s">
        <v>72</v>
      </c>
      <c r="D53" s="5" t="s">
        <v>36</v>
      </c>
      <c r="E53" s="7" t="n">
        <v>1250</v>
      </c>
    </row>
    <row r="54" customFormat="false" ht="15" hidden="false" customHeight="false" outlineLevel="0" collapsed="false">
      <c r="A54" s="5" t="s">
        <v>96</v>
      </c>
      <c r="B54" s="6" t="n">
        <v>46158</v>
      </c>
      <c r="C54" s="5" t="s">
        <v>42</v>
      </c>
      <c r="D54" s="5" t="s">
        <v>39</v>
      </c>
      <c r="E54" s="7" t="n">
        <v>930</v>
      </c>
    </row>
    <row r="55" customFormat="false" ht="15" hidden="false" customHeight="false" outlineLevel="0" collapsed="false">
      <c r="A55" s="5" t="s">
        <v>97</v>
      </c>
      <c r="B55" s="6" t="n">
        <v>46146</v>
      </c>
      <c r="C55" s="5" t="s">
        <v>35</v>
      </c>
      <c r="D55" s="5" t="s">
        <v>36</v>
      </c>
      <c r="E55" s="7" t="n">
        <v>350</v>
      </c>
    </row>
    <row r="56" customFormat="false" ht="15" hidden="false" customHeight="false" outlineLevel="0" collapsed="false">
      <c r="A56" s="5" t="s">
        <v>98</v>
      </c>
      <c r="B56" s="6" t="n">
        <v>46166</v>
      </c>
      <c r="C56" s="5" t="s">
        <v>35</v>
      </c>
      <c r="D56" s="5" t="s">
        <v>36</v>
      </c>
      <c r="E56" s="7" t="n">
        <v>1430</v>
      </c>
    </row>
    <row r="57" customFormat="false" ht="15" hidden="false" customHeight="false" outlineLevel="0" collapsed="false">
      <c r="A57" s="5" t="s">
        <v>99</v>
      </c>
      <c r="B57" s="6" t="n">
        <v>46160</v>
      </c>
      <c r="C57" s="5" t="s">
        <v>72</v>
      </c>
      <c r="D57" s="5" t="s">
        <v>36</v>
      </c>
      <c r="E57" s="7" t="n">
        <v>1360</v>
      </c>
    </row>
    <row r="58" customFormat="false" ht="15" hidden="false" customHeight="false" outlineLevel="0" collapsed="false">
      <c r="A58" s="5" t="s">
        <v>100</v>
      </c>
      <c r="B58" s="6" t="n">
        <v>46161</v>
      </c>
      <c r="C58" s="5" t="s">
        <v>72</v>
      </c>
      <c r="D58" s="5" t="s">
        <v>36</v>
      </c>
      <c r="E58" s="7" t="n">
        <v>1290</v>
      </c>
    </row>
    <row r="59" customFormat="false" ht="15" hidden="false" customHeight="false" outlineLevel="0" collapsed="false">
      <c r="A59" s="5" t="s">
        <v>101</v>
      </c>
      <c r="B59" s="6" t="n">
        <v>46158</v>
      </c>
      <c r="C59" s="5" t="s">
        <v>59</v>
      </c>
      <c r="D59" s="5" t="s">
        <v>51</v>
      </c>
      <c r="E59" s="7" t="n">
        <v>360</v>
      </c>
    </row>
    <row r="60" customFormat="false" ht="15" hidden="false" customHeight="false" outlineLevel="0" collapsed="false">
      <c r="A60" s="5" t="s">
        <v>102</v>
      </c>
      <c r="B60" s="6" t="n">
        <v>46166</v>
      </c>
      <c r="C60" s="5" t="s">
        <v>50</v>
      </c>
      <c r="D60" s="5" t="s">
        <v>51</v>
      </c>
      <c r="E60" s="7" t="n">
        <v>960</v>
      </c>
    </row>
    <row r="61" customFormat="false" ht="15" hidden="false" customHeight="false" outlineLevel="0" collapsed="false">
      <c r="A61" s="5" t="s">
        <v>103</v>
      </c>
      <c r="B61" s="6" t="n">
        <v>46157</v>
      </c>
      <c r="C61" s="5" t="s">
        <v>42</v>
      </c>
      <c r="D61" s="5" t="s">
        <v>39</v>
      </c>
      <c r="E61" s="7" t="n">
        <v>360</v>
      </c>
    </row>
    <row r="62" customFormat="false" ht="15" hidden="false" customHeight="false" outlineLevel="0" collapsed="false">
      <c r="A62" s="5" t="s">
        <v>104</v>
      </c>
      <c r="B62" s="6" t="n">
        <v>46166</v>
      </c>
      <c r="C62" s="5" t="s">
        <v>38</v>
      </c>
      <c r="D62" s="5" t="s">
        <v>39</v>
      </c>
      <c r="E62" s="7" t="n">
        <v>290</v>
      </c>
    </row>
    <row r="63" customFormat="false" ht="15" hidden="false" customHeight="false" outlineLevel="0" collapsed="false">
      <c r="A63" s="5" t="s">
        <v>105</v>
      </c>
      <c r="B63" s="6" t="n">
        <v>46160</v>
      </c>
      <c r="C63" s="5" t="s">
        <v>32</v>
      </c>
      <c r="D63" s="5" t="s">
        <v>33</v>
      </c>
      <c r="E63" s="7" t="n">
        <v>590</v>
      </c>
    </row>
    <row r="64" customFormat="false" ht="15" hidden="false" customHeight="false" outlineLevel="0" collapsed="false">
      <c r="A64" s="5" t="s">
        <v>106</v>
      </c>
      <c r="B64" s="6" t="n">
        <v>46165</v>
      </c>
      <c r="C64" s="5" t="s">
        <v>50</v>
      </c>
      <c r="D64" s="5" t="s">
        <v>51</v>
      </c>
      <c r="E64" s="7" t="n">
        <v>1090</v>
      </c>
    </row>
    <row r="65" customFormat="false" ht="15" hidden="false" customHeight="false" outlineLevel="0" collapsed="false">
      <c r="A65" s="5" t="s">
        <v>107</v>
      </c>
      <c r="B65" s="6" t="n">
        <v>46183</v>
      </c>
      <c r="C65" s="5" t="s">
        <v>53</v>
      </c>
      <c r="D65" s="5" t="s">
        <v>54</v>
      </c>
      <c r="E65" s="7" t="n">
        <v>1160</v>
      </c>
    </row>
    <row r="66" customFormat="false" ht="15" hidden="false" customHeight="false" outlineLevel="0" collapsed="false">
      <c r="A66" s="5" t="s">
        <v>108</v>
      </c>
      <c r="B66" s="6" t="n">
        <v>46181</v>
      </c>
      <c r="C66" s="5" t="s">
        <v>50</v>
      </c>
      <c r="D66" s="5" t="s">
        <v>51</v>
      </c>
      <c r="E66" s="7" t="n">
        <v>640</v>
      </c>
    </row>
    <row r="67" customFormat="false" ht="15" hidden="false" customHeight="false" outlineLevel="0" collapsed="false">
      <c r="A67" s="5" t="s">
        <v>109</v>
      </c>
      <c r="B67" s="6" t="n">
        <v>46180</v>
      </c>
      <c r="C67" s="5" t="s">
        <v>38</v>
      </c>
      <c r="D67" s="5" t="s">
        <v>39</v>
      </c>
      <c r="E67" s="7" t="n">
        <v>190</v>
      </c>
    </row>
    <row r="68" customFormat="false" ht="15" hidden="false" customHeight="false" outlineLevel="0" collapsed="false">
      <c r="A68" s="5" t="s">
        <v>110</v>
      </c>
      <c r="B68" s="6" t="n">
        <v>46181</v>
      </c>
      <c r="C68" s="5" t="s">
        <v>42</v>
      </c>
      <c r="D68" s="5" t="s">
        <v>39</v>
      </c>
      <c r="E68" s="7" t="n">
        <v>1010</v>
      </c>
    </row>
    <row r="69" customFormat="false" ht="15" hidden="false" customHeight="false" outlineLevel="0" collapsed="false">
      <c r="A69" s="5" t="s">
        <v>111</v>
      </c>
      <c r="B69" s="6" t="n">
        <v>46193</v>
      </c>
      <c r="C69" s="5" t="s">
        <v>53</v>
      </c>
      <c r="D69" s="5" t="s">
        <v>54</v>
      </c>
      <c r="E69" s="7" t="n">
        <v>680</v>
      </c>
    </row>
    <row r="70" customFormat="false" ht="15" hidden="false" customHeight="false" outlineLevel="0" collapsed="false">
      <c r="A70" s="5" t="s">
        <v>112</v>
      </c>
      <c r="B70" s="6" t="n">
        <v>46182</v>
      </c>
      <c r="C70" s="5" t="s">
        <v>42</v>
      </c>
      <c r="D70" s="5" t="s">
        <v>39</v>
      </c>
      <c r="E70" s="7" t="n">
        <v>210</v>
      </c>
    </row>
    <row r="71" customFormat="false" ht="15" hidden="false" customHeight="false" outlineLevel="0" collapsed="false">
      <c r="A71" s="5" t="s">
        <v>113</v>
      </c>
      <c r="B71" s="6" t="n">
        <v>46194</v>
      </c>
      <c r="C71" s="5" t="s">
        <v>53</v>
      </c>
      <c r="D71" s="5" t="s">
        <v>54</v>
      </c>
      <c r="E71" s="7" t="n">
        <v>300</v>
      </c>
    </row>
    <row r="72" customFormat="false" ht="15" hidden="false" customHeight="false" outlineLevel="0" collapsed="false">
      <c r="A72" s="5" t="s">
        <v>114</v>
      </c>
      <c r="B72" s="6" t="n">
        <v>46195</v>
      </c>
      <c r="C72" s="5" t="s">
        <v>59</v>
      </c>
      <c r="D72" s="5" t="s">
        <v>51</v>
      </c>
      <c r="E72" s="7" t="n">
        <v>720</v>
      </c>
    </row>
    <row r="73" customFormat="false" ht="15" hidden="false" customHeight="false" outlineLevel="0" collapsed="false">
      <c r="A73" s="5" t="s">
        <v>115</v>
      </c>
      <c r="B73" s="6" t="n">
        <v>46190</v>
      </c>
      <c r="C73" s="5" t="s">
        <v>72</v>
      </c>
      <c r="D73" s="5" t="s">
        <v>36</v>
      </c>
      <c r="E73" s="7" t="n">
        <v>840</v>
      </c>
    </row>
    <row r="74" customFormat="false" ht="15" hidden="false" customHeight="false" outlineLevel="0" collapsed="false">
      <c r="A74" s="5" t="s">
        <v>116</v>
      </c>
      <c r="B74" s="6" t="n">
        <v>46193</v>
      </c>
      <c r="C74" s="5" t="s">
        <v>42</v>
      </c>
      <c r="D74" s="5" t="s">
        <v>39</v>
      </c>
      <c r="E74" s="7" t="n">
        <v>1460</v>
      </c>
    </row>
    <row r="75" customFormat="false" ht="15" hidden="false" customHeight="false" outlineLevel="0" collapsed="false">
      <c r="A75" s="5" t="s">
        <v>117</v>
      </c>
      <c r="B75" s="6" t="n">
        <v>46189</v>
      </c>
      <c r="C75" s="5" t="s">
        <v>72</v>
      </c>
      <c r="D75" s="5" t="s">
        <v>36</v>
      </c>
      <c r="E75" s="7" t="n">
        <v>1390</v>
      </c>
    </row>
    <row r="76" customFormat="false" ht="15" hidden="false" customHeight="false" outlineLevel="0" collapsed="false">
      <c r="A76" s="5" t="s">
        <v>118</v>
      </c>
      <c r="B76" s="6" t="n">
        <v>46178</v>
      </c>
      <c r="C76" s="5" t="s">
        <v>32</v>
      </c>
      <c r="D76" s="5" t="s">
        <v>33</v>
      </c>
      <c r="E76" s="7" t="n">
        <v>1330</v>
      </c>
    </row>
    <row r="77" customFormat="false" ht="15" hidden="false" customHeight="false" outlineLevel="0" collapsed="false">
      <c r="A77" s="5" t="s">
        <v>119</v>
      </c>
      <c r="B77" s="6" t="n">
        <v>46177</v>
      </c>
      <c r="C77" s="5" t="s">
        <v>59</v>
      </c>
      <c r="D77" s="5" t="s">
        <v>51</v>
      </c>
      <c r="E77" s="7" t="n">
        <v>640</v>
      </c>
    </row>
    <row r="78" customFormat="false" ht="15" hidden="false" customHeight="false" outlineLevel="0" collapsed="false">
      <c r="A78" s="5" t="s">
        <v>120</v>
      </c>
      <c r="B78" s="6" t="n">
        <v>46176</v>
      </c>
      <c r="C78" s="5" t="s">
        <v>42</v>
      </c>
      <c r="D78" s="5" t="s">
        <v>39</v>
      </c>
      <c r="E78" s="7" t="n">
        <v>1110</v>
      </c>
    </row>
    <row r="79" customFormat="false" ht="15" hidden="false" customHeight="false" outlineLevel="0" collapsed="false">
      <c r="A79" s="5" t="s">
        <v>121</v>
      </c>
      <c r="B79" s="6" t="n">
        <v>46194</v>
      </c>
      <c r="C79" s="5" t="s">
        <v>35</v>
      </c>
      <c r="D79" s="5" t="s">
        <v>36</v>
      </c>
      <c r="E79" s="7" t="n">
        <v>400</v>
      </c>
    </row>
    <row r="80" customFormat="false" ht="15" hidden="false" customHeight="false" outlineLevel="0" collapsed="false">
      <c r="A80" s="5" t="s">
        <v>122</v>
      </c>
      <c r="B80" s="6" t="n">
        <v>46175</v>
      </c>
      <c r="C80" s="5" t="s">
        <v>59</v>
      </c>
      <c r="D80" s="5" t="s">
        <v>51</v>
      </c>
      <c r="E80" s="7" t="n">
        <v>630</v>
      </c>
    </row>
    <row r="81" customFormat="false" ht="15" hidden="false" customHeight="false" outlineLevel="0" collapsed="false">
      <c r="A81" s="5" t="s">
        <v>123</v>
      </c>
      <c r="B81" s="6" t="n">
        <v>46197</v>
      </c>
      <c r="C81" s="5" t="s">
        <v>50</v>
      </c>
      <c r="D81" s="5" t="s">
        <v>51</v>
      </c>
      <c r="E81" s="7" t="n">
        <v>740</v>
      </c>
    </row>
    <row r="82" customFormat="false" ht="15" hidden="false" customHeight="false" outlineLevel="0" collapsed="false">
      <c r="A82" s="5" t="s">
        <v>124</v>
      </c>
      <c r="B82" s="6" t="n">
        <v>46180</v>
      </c>
      <c r="C82" s="5" t="s">
        <v>32</v>
      </c>
      <c r="D82" s="5" t="s">
        <v>33</v>
      </c>
      <c r="E82" s="7" t="n">
        <v>1270</v>
      </c>
    </row>
    <row r="83" customFormat="false" ht="15" hidden="false" customHeight="false" outlineLevel="0" collapsed="false">
      <c r="A83" s="5" t="s">
        <v>125</v>
      </c>
      <c r="B83" s="6" t="n">
        <v>46179</v>
      </c>
      <c r="C83" s="5" t="s">
        <v>50</v>
      </c>
      <c r="D83" s="5" t="s">
        <v>51</v>
      </c>
      <c r="E83" s="7" t="n">
        <v>380</v>
      </c>
    </row>
    <row r="84" customFormat="false" ht="15" hidden="false" customHeight="false" outlineLevel="0" collapsed="false">
      <c r="A84" s="5" t="s">
        <v>126</v>
      </c>
      <c r="B84" s="6" t="n">
        <v>46176</v>
      </c>
      <c r="C84" s="5" t="s">
        <v>38</v>
      </c>
      <c r="D84" s="5" t="s">
        <v>39</v>
      </c>
      <c r="E84" s="7" t="n">
        <v>240</v>
      </c>
    </row>
    <row r="85" customFormat="false" ht="15" hidden="false" customHeight="false" outlineLevel="0" collapsed="false">
      <c r="A85" s="5" t="s">
        <v>127</v>
      </c>
      <c r="B85" s="6" t="n">
        <v>46178</v>
      </c>
      <c r="C85" s="5" t="s">
        <v>59</v>
      </c>
      <c r="D85" s="5" t="s">
        <v>51</v>
      </c>
      <c r="E85" s="7" t="n">
        <v>560</v>
      </c>
    </row>
    <row r="86" customFormat="false" ht="15" hidden="false" customHeight="false" outlineLevel="0" collapsed="false">
      <c r="A86" s="5" t="s">
        <v>128</v>
      </c>
      <c r="B86" s="6" t="n">
        <v>46187</v>
      </c>
      <c r="C86" s="5" t="s">
        <v>72</v>
      </c>
      <c r="D86" s="5" t="s">
        <v>36</v>
      </c>
      <c r="E86" s="7" t="n">
        <v>260</v>
      </c>
    </row>
    <row r="87" customFormat="false" ht="15" hidden="false" customHeight="false" outlineLevel="0" collapsed="false">
      <c r="A87" s="5" t="s">
        <v>129</v>
      </c>
      <c r="B87" s="6" t="n">
        <v>46177</v>
      </c>
      <c r="C87" s="5" t="s">
        <v>32</v>
      </c>
      <c r="D87" s="5" t="s">
        <v>33</v>
      </c>
      <c r="E87" s="7" t="n">
        <v>1190</v>
      </c>
    </row>
    <row r="88" customFormat="false" ht="15" hidden="false" customHeight="false" outlineLevel="0" collapsed="false">
      <c r="A88" s="5" t="s">
        <v>130</v>
      </c>
      <c r="B88" s="6" t="n">
        <v>46182</v>
      </c>
      <c r="C88" s="5" t="s">
        <v>53</v>
      </c>
      <c r="D88" s="5" t="s">
        <v>54</v>
      </c>
      <c r="E88" s="7" t="n">
        <v>470</v>
      </c>
    </row>
    <row r="89" customFormat="false" ht="15" hidden="false" customHeight="false" outlineLevel="0" collapsed="false">
      <c r="A89" s="5" t="s">
        <v>131</v>
      </c>
      <c r="B89" s="6" t="n">
        <v>46193</v>
      </c>
      <c r="C89" s="5" t="s">
        <v>53</v>
      </c>
      <c r="D89" s="5" t="s">
        <v>54</v>
      </c>
      <c r="E89" s="7" t="n">
        <v>650</v>
      </c>
    </row>
    <row r="90" customFormat="false" ht="15" hidden="false" customHeight="false" outlineLevel="0" collapsed="false">
      <c r="A90" s="5" t="s">
        <v>132</v>
      </c>
      <c r="B90" s="6" t="n">
        <v>46197</v>
      </c>
      <c r="C90" s="5" t="s">
        <v>32</v>
      </c>
      <c r="D90" s="5" t="s">
        <v>33</v>
      </c>
      <c r="E90" s="7" t="n">
        <v>1280</v>
      </c>
    </row>
    <row r="91" customFormat="false" ht="15" hidden="false" customHeight="false" outlineLevel="0" collapsed="false">
      <c r="A91" s="5" t="s">
        <v>133</v>
      </c>
      <c r="B91" s="6" t="n">
        <v>46187</v>
      </c>
      <c r="C91" s="5" t="s">
        <v>32</v>
      </c>
      <c r="D91" s="5" t="s">
        <v>33</v>
      </c>
      <c r="E91" s="7" t="n">
        <v>200</v>
      </c>
    </row>
    <row r="92" customFormat="false" ht="15" hidden="false" customHeight="false" outlineLevel="0" collapsed="false">
      <c r="A92" s="5" t="s">
        <v>134</v>
      </c>
      <c r="B92" s="6" t="n">
        <v>46210</v>
      </c>
      <c r="C92" s="5" t="s">
        <v>32</v>
      </c>
      <c r="D92" s="5" t="s">
        <v>33</v>
      </c>
      <c r="E92" s="7" t="n">
        <v>360</v>
      </c>
    </row>
    <row r="93" customFormat="false" ht="15" hidden="false" customHeight="false" outlineLevel="0" collapsed="false">
      <c r="A93" s="5" t="s">
        <v>135</v>
      </c>
      <c r="B93" s="6" t="n">
        <v>46234</v>
      </c>
      <c r="C93" s="5" t="s">
        <v>72</v>
      </c>
      <c r="D93" s="5" t="s">
        <v>36</v>
      </c>
      <c r="E93" s="7" t="n">
        <v>1140</v>
      </c>
    </row>
    <row r="94" customFormat="false" ht="15" hidden="false" customHeight="false" outlineLevel="0" collapsed="false">
      <c r="A94" s="5" t="s">
        <v>136</v>
      </c>
      <c r="B94" s="6" t="n">
        <v>46232</v>
      </c>
      <c r="C94" s="5" t="s">
        <v>53</v>
      </c>
      <c r="D94" s="5" t="s">
        <v>54</v>
      </c>
      <c r="E94" s="7" t="n">
        <v>300</v>
      </c>
    </row>
    <row r="95" customFormat="false" ht="15" hidden="false" customHeight="false" outlineLevel="0" collapsed="false">
      <c r="A95" s="5" t="s">
        <v>137</v>
      </c>
      <c r="B95" s="6" t="n">
        <v>46217</v>
      </c>
      <c r="C95" s="5" t="s">
        <v>72</v>
      </c>
      <c r="D95" s="5" t="s">
        <v>36</v>
      </c>
      <c r="E95" s="7" t="n">
        <v>1030</v>
      </c>
    </row>
    <row r="96" customFormat="false" ht="15" hidden="false" customHeight="false" outlineLevel="0" collapsed="false">
      <c r="A96" s="5" t="s">
        <v>138</v>
      </c>
      <c r="B96" s="6" t="n">
        <v>46220</v>
      </c>
      <c r="C96" s="5" t="s">
        <v>42</v>
      </c>
      <c r="D96" s="5" t="s">
        <v>39</v>
      </c>
      <c r="E96" s="7" t="n">
        <v>1190</v>
      </c>
    </row>
    <row r="97" customFormat="false" ht="15" hidden="false" customHeight="false" outlineLevel="0" collapsed="false">
      <c r="A97" s="5" t="s">
        <v>139</v>
      </c>
      <c r="B97" s="6" t="n">
        <v>46204</v>
      </c>
      <c r="C97" s="5" t="s">
        <v>32</v>
      </c>
      <c r="D97" s="5" t="s">
        <v>33</v>
      </c>
      <c r="E97" s="7" t="n">
        <v>530</v>
      </c>
    </row>
    <row r="98" customFormat="false" ht="15" hidden="false" customHeight="false" outlineLevel="0" collapsed="false">
      <c r="A98" s="5" t="s">
        <v>140</v>
      </c>
      <c r="B98" s="6" t="n">
        <v>46211</v>
      </c>
      <c r="C98" s="5" t="s">
        <v>53</v>
      </c>
      <c r="D98" s="5" t="s">
        <v>54</v>
      </c>
      <c r="E98" s="7" t="n">
        <v>980</v>
      </c>
    </row>
    <row r="99" customFormat="false" ht="15" hidden="false" customHeight="false" outlineLevel="0" collapsed="false">
      <c r="A99" s="5" t="s">
        <v>141</v>
      </c>
      <c r="B99" s="6" t="n">
        <v>46216</v>
      </c>
      <c r="C99" s="5" t="s">
        <v>59</v>
      </c>
      <c r="D99" s="5" t="s">
        <v>51</v>
      </c>
      <c r="E99" s="7" t="n">
        <v>300</v>
      </c>
    </row>
    <row r="100" customFormat="false" ht="15" hidden="false" customHeight="false" outlineLevel="0" collapsed="false">
      <c r="A100" s="5" t="s">
        <v>142</v>
      </c>
      <c r="B100" s="6" t="n">
        <v>46205</v>
      </c>
      <c r="C100" s="5" t="s">
        <v>53</v>
      </c>
      <c r="D100" s="5" t="s">
        <v>54</v>
      </c>
      <c r="E100" s="7" t="n">
        <v>1180</v>
      </c>
    </row>
    <row r="101" customFormat="false" ht="15" hidden="false" customHeight="false" outlineLevel="0" collapsed="false">
      <c r="A101" s="5" t="s">
        <v>143</v>
      </c>
      <c r="B101" s="6" t="n">
        <v>46224</v>
      </c>
      <c r="C101" s="5" t="s">
        <v>38</v>
      </c>
      <c r="D101" s="5" t="s">
        <v>39</v>
      </c>
      <c r="E101" s="7" t="n">
        <v>250</v>
      </c>
    </row>
    <row r="102" customFormat="false" ht="15" hidden="false" customHeight="false" outlineLevel="0" collapsed="false">
      <c r="A102" s="5" t="s">
        <v>144</v>
      </c>
      <c r="B102" s="6" t="n">
        <v>46232</v>
      </c>
      <c r="C102" s="5" t="s">
        <v>59</v>
      </c>
      <c r="D102" s="5" t="s">
        <v>51</v>
      </c>
      <c r="E102" s="7" t="n">
        <v>160</v>
      </c>
    </row>
    <row r="103" customFormat="false" ht="15" hidden="false" customHeight="false" outlineLevel="0" collapsed="false">
      <c r="A103" s="5" t="s">
        <v>145</v>
      </c>
      <c r="B103" s="6" t="n">
        <v>46227</v>
      </c>
      <c r="C103" s="5" t="s">
        <v>59</v>
      </c>
      <c r="D103" s="5" t="s">
        <v>51</v>
      </c>
      <c r="E103" s="7" t="n">
        <v>650</v>
      </c>
    </row>
    <row r="104" customFormat="false" ht="15" hidden="false" customHeight="false" outlineLevel="0" collapsed="false">
      <c r="A104" s="5" t="s">
        <v>146</v>
      </c>
      <c r="B104" s="6" t="n">
        <v>46223</v>
      </c>
      <c r="C104" s="5" t="s">
        <v>35</v>
      </c>
      <c r="D104" s="5" t="s">
        <v>36</v>
      </c>
      <c r="E104" s="7" t="n">
        <v>1210</v>
      </c>
    </row>
    <row r="105" customFormat="false" ht="15" hidden="false" customHeight="false" outlineLevel="0" collapsed="false">
      <c r="A105" s="5" t="s">
        <v>147</v>
      </c>
      <c r="B105" s="6" t="n">
        <v>46205</v>
      </c>
      <c r="C105" s="5" t="s">
        <v>42</v>
      </c>
      <c r="D105" s="5" t="s">
        <v>39</v>
      </c>
      <c r="E105" s="7" t="n">
        <v>460</v>
      </c>
    </row>
    <row r="106" customFormat="false" ht="15" hidden="false" customHeight="false" outlineLevel="0" collapsed="false">
      <c r="A106" s="5" t="s">
        <v>148</v>
      </c>
      <c r="B106" s="6" t="n">
        <v>46208</v>
      </c>
      <c r="C106" s="5" t="s">
        <v>42</v>
      </c>
      <c r="D106" s="5" t="s">
        <v>39</v>
      </c>
      <c r="E106" s="7" t="n">
        <v>960</v>
      </c>
    </row>
    <row r="107" customFormat="false" ht="15" hidden="false" customHeight="false" outlineLevel="0" collapsed="false">
      <c r="A107" s="5" t="s">
        <v>149</v>
      </c>
      <c r="B107" s="6" t="n">
        <v>46222</v>
      </c>
      <c r="C107" s="5" t="s">
        <v>50</v>
      </c>
      <c r="D107" s="5" t="s">
        <v>51</v>
      </c>
      <c r="E107" s="7" t="n">
        <v>930</v>
      </c>
    </row>
    <row r="108" customFormat="false" ht="15" hidden="false" customHeight="false" outlineLevel="0" collapsed="false">
      <c r="A108" s="5" t="s">
        <v>150</v>
      </c>
      <c r="B108" s="6" t="n">
        <v>46208</v>
      </c>
      <c r="C108" s="5" t="s">
        <v>38</v>
      </c>
      <c r="D108" s="5" t="s">
        <v>39</v>
      </c>
      <c r="E108" s="7" t="n">
        <v>1250</v>
      </c>
    </row>
    <row r="109" customFormat="false" ht="15" hidden="false" customHeight="false" outlineLevel="0" collapsed="false">
      <c r="A109" s="5" t="s">
        <v>151</v>
      </c>
      <c r="B109" s="6" t="n">
        <v>46222</v>
      </c>
      <c r="C109" s="5" t="s">
        <v>35</v>
      </c>
      <c r="D109" s="5" t="s">
        <v>36</v>
      </c>
      <c r="E109" s="7" t="n">
        <v>1200</v>
      </c>
    </row>
    <row r="110" customFormat="false" ht="15" hidden="false" customHeight="false" outlineLevel="0" collapsed="false">
      <c r="A110" s="5" t="s">
        <v>152</v>
      </c>
      <c r="B110" s="6" t="n">
        <v>46232</v>
      </c>
      <c r="C110" s="5" t="s">
        <v>50</v>
      </c>
      <c r="D110" s="5" t="s">
        <v>51</v>
      </c>
      <c r="E110" s="7" t="n">
        <v>530</v>
      </c>
    </row>
    <row r="111" customFormat="false" ht="15" hidden="false" customHeight="false" outlineLevel="0" collapsed="false">
      <c r="A111" s="5" t="s">
        <v>153</v>
      </c>
      <c r="B111" s="6" t="n">
        <v>46213</v>
      </c>
      <c r="C111" s="5" t="s">
        <v>42</v>
      </c>
      <c r="D111" s="5" t="s">
        <v>39</v>
      </c>
      <c r="E111" s="7" t="n">
        <v>830</v>
      </c>
    </row>
    <row r="112" customFormat="false" ht="15" hidden="false" customHeight="false" outlineLevel="0" collapsed="false">
      <c r="A112" s="5" t="s">
        <v>154</v>
      </c>
      <c r="B112" s="6" t="n">
        <v>46224</v>
      </c>
      <c r="C112" s="5" t="s">
        <v>35</v>
      </c>
      <c r="D112" s="5" t="s">
        <v>36</v>
      </c>
      <c r="E112" s="7" t="n">
        <v>1290</v>
      </c>
    </row>
    <row r="113" customFormat="false" ht="15" hidden="false" customHeight="false" outlineLevel="0" collapsed="false">
      <c r="A113" s="5" t="s">
        <v>155</v>
      </c>
      <c r="B113" s="6" t="n">
        <v>46206</v>
      </c>
      <c r="C113" s="5" t="s">
        <v>32</v>
      </c>
      <c r="D113" s="5" t="s">
        <v>33</v>
      </c>
      <c r="E113" s="7" t="n">
        <v>820</v>
      </c>
    </row>
    <row r="114" customFormat="false" ht="15" hidden="false" customHeight="false" outlineLevel="0" collapsed="false">
      <c r="A114" s="5" t="s">
        <v>156</v>
      </c>
      <c r="B114" s="6" t="n">
        <v>46213</v>
      </c>
      <c r="C114" s="5" t="s">
        <v>53</v>
      </c>
      <c r="D114" s="5" t="s">
        <v>54</v>
      </c>
      <c r="E114" s="7" t="n">
        <v>1380</v>
      </c>
    </row>
    <row r="115" customFormat="false" ht="15" hidden="false" customHeight="false" outlineLevel="0" collapsed="false">
      <c r="A115" s="5" t="s">
        <v>157</v>
      </c>
      <c r="B115" s="6" t="n">
        <v>46207</v>
      </c>
      <c r="C115" s="5" t="s">
        <v>42</v>
      </c>
      <c r="D115" s="5" t="s">
        <v>39</v>
      </c>
      <c r="E115" s="7" t="n">
        <v>450</v>
      </c>
    </row>
    <row r="116" customFormat="false" ht="15" hidden="false" customHeight="false" outlineLevel="0" collapsed="false">
      <c r="A116" s="5" t="s">
        <v>158</v>
      </c>
      <c r="B116" s="6" t="n">
        <v>46232</v>
      </c>
      <c r="C116" s="5" t="s">
        <v>32</v>
      </c>
      <c r="D116" s="5" t="s">
        <v>33</v>
      </c>
      <c r="E116" s="7" t="n">
        <v>1180</v>
      </c>
    </row>
    <row r="117" customFormat="false" ht="15" hidden="false" customHeight="false" outlineLevel="0" collapsed="false">
      <c r="A117" s="5" t="s">
        <v>159</v>
      </c>
      <c r="B117" s="6" t="n">
        <v>46265</v>
      </c>
      <c r="C117" s="5" t="s">
        <v>35</v>
      </c>
      <c r="D117" s="5" t="s">
        <v>36</v>
      </c>
      <c r="E117" s="7" t="n">
        <v>1310</v>
      </c>
    </row>
    <row r="118" customFormat="false" ht="15" hidden="false" customHeight="false" outlineLevel="0" collapsed="false">
      <c r="A118" s="5" t="s">
        <v>160</v>
      </c>
      <c r="B118" s="6" t="n">
        <v>46261</v>
      </c>
      <c r="C118" s="5" t="s">
        <v>35</v>
      </c>
      <c r="D118" s="5" t="s">
        <v>36</v>
      </c>
      <c r="E118" s="7" t="n">
        <v>710</v>
      </c>
    </row>
    <row r="119" customFormat="false" ht="15" hidden="false" customHeight="false" outlineLevel="0" collapsed="false">
      <c r="A119" s="5" t="s">
        <v>161</v>
      </c>
      <c r="B119" s="6" t="n">
        <v>46265</v>
      </c>
      <c r="C119" s="5" t="s">
        <v>35</v>
      </c>
      <c r="D119" s="5" t="s">
        <v>36</v>
      </c>
      <c r="E119" s="7" t="n">
        <v>190</v>
      </c>
    </row>
    <row r="120" customFormat="false" ht="15" hidden="false" customHeight="false" outlineLevel="0" collapsed="false">
      <c r="A120" s="5" t="s">
        <v>162</v>
      </c>
      <c r="B120" s="6" t="n">
        <v>46257</v>
      </c>
      <c r="C120" s="5" t="s">
        <v>38</v>
      </c>
      <c r="D120" s="5" t="s">
        <v>39</v>
      </c>
      <c r="E120" s="7" t="n">
        <v>170</v>
      </c>
    </row>
    <row r="121" customFormat="false" ht="15" hidden="false" customHeight="false" outlineLevel="0" collapsed="false">
      <c r="A121" s="5" t="s">
        <v>163</v>
      </c>
      <c r="B121" s="6" t="n">
        <v>46262</v>
      </c>
      <c r="C121" s="5" t="s">
        <v>72</v>
      </c>
      <c r="D121" s="5" t="s">
        <v>36</v>
      </c>
      <c r="E121" s="7" t="n">
        <v>370</v>
      </c>
    </row>
    <row r="122" customFormat="false" ht="15" hidden="false" customHeight="false" outlineLevel="0" collapsed="false">
      <c r="A122" s="5" t="s">
        <v>164</v>
      </c>
      <c r="B122" s="6" t="n">
        <v>46239</v>
      </c>
      <c r="C122" s="5" t="s">
        <v>53</v>
      </c>
      <c r="D122" s="5" t="s">
        <v>54</v>
      </c>
      <c r="E122" s="7" t="n">
        <v>730</v>
      </c>
    </row>
    <row r="123" customFormat="false" ht="15" hidden="false" customHeight="false" outlineLevel="0" collapsed="false">
      <c r="A123" s="5" t="s">
        <v>165</v>
      </c>
      <c r="B123" s="6" t="n">
        <v>46248</v>
      </c>
      <c r="C123" s="5" t="s">
        <v>32</v>
      </c>
      <c r="D123" s="5" t="s">
        <v>33</v>
      </c>
      <c r="E123" s="7" t="n">
        <v>430</v>
      </c>
    </row>
    <row r="124" customFormat="false" ht="15" hidden="false" customHeight="false" outlineLevel="0" collapsed="false">
      <c r="A124" s="5" t="s">
        <v>166</v>
      </c>
      <c r="B124" s="6" t="n">
        <v>46263</v>
      </c>
      <c r="C124" s="5" t="s">
        <v>35</v>
      </c>
      <c r="D124" s="5" t="s">
        <v>36</v>
      </c>
      <c r="E124" s="7" t="n">
        <v>180</v>
      </c>
    </row>
    <row r="125" customFormat="false" ht="15" hidden="false" customHeight="false" outlineLevel="0" collapsed="false">
      <c r="A125" s="5" t="s">
        <v>167</v>
      </c>
      <c r="B125" s="6" t="n">
        <v>46240</v>
      </c>
      <c r="C125" s="5" t="s">
        <v>32</v>
      </c>
      <c r="D125" s="5" t="s">
        <v>33</v>
      </c>
      <c r="E125" s="7" t="n">
        <v>1110</v>
      </c>
    </row>
    <row r="126" customFormat="false" ht="15" hidden="false" customHeight="false" outlineLevel="0" collapsed="false">
      <c r="A126" s="5" t="s">
        <v>168</v>
      </c>
      <c r="B126" s="6" t="n">
        <v>46253</v>
      </c>
      <c r="C126" s="5" t="s">
        <v>53</v>
      </c>
      <c r="D126" s="5" t="s">
        <v>54</v>
      </c>
      <c r="E126" s="7" t="n">
        <v>900</v>
      </c>
    </row>
    <row r="127" customFormat="false" ht="15" hidden="false" customHeight="false" outlineLevel="0" collapsed="false">
      <c r="A127" s="5" t="s">
        <v>169</v>
      </c>
      <c r="B127" s="6" t="n">
        <v>46259</v>
      </c>
      <c r="C127" s="5" t="s">
        <v>32</v>
      </c>
      <c r="D127" s="5" t="s">
        <v>33</v>
      </c>
      <c r="E127" s="7" t="n">
        <v>700</v>
      </c>
    </row>
    <row r="128" customFormat="false" ht="15" hidden="false" customHeight="false" outlineLevel="0" collapsed="false">
      <c r="A128" s="5" t="s">
        <v>170</v>
      </c>
      <c r="B128" s="6" t="n">
        <v>46255</v>
      </c>
      <c r="C128" s="5" t="s">
        <v>59</v>
      </c>
      <c r="D128" s="5" t="s">
        <v>51</v>
      </c>
      <c r="E128" s="7" t="n">
        <v>670</v>
      </c>
    </row>
    <row r="129" customFormat="false" ht="15" hidden="false" customHeight="false" outlineLevel="0" collapsed="false">
      <c r="A129" s="5" t="s">
        <v>171</v>
      </c>
      <c r="B129" s="6" t="n">
        <v>46252</v>
      </c>
      <c r="C129" s="5" t="s">
        <v>42</v>
      </c>
      <c r="D129" s="5" t="s">
        <v>39</v>
      </c>
      <c r="E129" s="7" t="n">
        <v>370</v>
      </c>
    </row>
    <row r="130" customFormat="false" ht="15" hidden="false" customHeight="false" outlineLevel="0" collapsed="false">
      <c r="A130" s="5" t="s">
        <v>172</v>
      </c>
      <c r="B130" s="6" t="n">
        <v>46235</v>
      </c>
      <c r="C130" s="5" t="s">
        <v>35</v>
      </c>
      <c r="D130" s="5" t="s">
        <v>36</v>
      </c>
      <c r="E130" s="7" t="n">
        <v>210</v>
      </c>
    </row>
    <row r="131" customFormat="false" ht="15" hidden="false" customHeight="false" outlineLevel="0" collapsed="false">
      <c r="A131" s="5" t="s">
        <v>173</v>
      </c>
      <c r="B131" s="6" t="n">
        <v>46262</v>
      </c>
      <c r="C131" s="5" t="s">
        <v>50</v>
      </c>
      <c r="D131" s="5" t="s">
        <v>51</v>
      </c>
      <c r="E131" s="7" t="n">
        <v>840</v>
      </c>
    </row>
    <row r="132" customFormat="false" ht="15" hidden="false" customHeight="false" outlineLevel="0" collapsed="false">
      <c r="A132" s="5" t="s">
        <v>174</v>
      </c>
      <c r="B132" s="6" t="n">
        <v>46238</v>
      </c>
      <c r="C132" s="5" t="s">
        <v>72</v>
      </c>
      <c r="D132" s="5" t="s">
        <v>36</v>
      </c>
      <c r="E132" s="7" t="n">
        <v>460</v>
      </c>
    </row>
    <row r="133" customFormat="false" ht="15" hidden="false" customHeight="false" outlineLevel="0" collapsed="false">
      <c r="A133" s="5" t="s">
        <v>175</v>
      </c>
      <c r="B133" s="6" t="n">
        <v>46250</v>
      </c>
      <c r="C133" s="5" t="s">
        <v>38</v>
      </c>
      <c r="D133" s="5" t="s">
        <v>39</v>
      </c>
      <c r="E133" s="7" t="n">
        <v>1070</v>
      </c>
    </row>
    <row r="134" customFormat="false" ht="15" hidden="false" customHeight="false" outlineLevel="0" collapsed="false">
      <c r="A134" s="5" t="s">
        <v>176</v>
      </c>
      <c r="B134" s="6" t="n">
        <v>46235</v>
      </c>
      <c r="C134" s="5" t="s">
        <v>42</v>
      </c>
      <c r="D134" s="5" t="s">
        <v>39</v>
      </c>
      <c r="E134" s="7" t="n">
        <v>320</v>
      </c>
    </row>
    <row r="135" customFormat="false" ht="15" hidden="false" customHeight="false" outlineLevel="0" collapsed="false">
      <c r="A135" s="5" t="s">
        <v>177</v>
      </c>
      <c r="B135" s="6" t="n">
        <v>46256</v>
      </c>
      <c r="C135" s="5" t="s">
        <v>35</v>
      </c>
      <c r="D135" s="5" t="s">
        <v>36</v>
      </c>
      <c r="E135" s="7" t="n">
        <v>1230</v>
      </c>
    </row>
    <row r="136" customFormat="false" ht="15" hidden="false" customHeight="false" outlineLevel="0" collapsed="false">
      <c r="A136" s="5" t="s">
        <v>178</v>
      </c>
      <c r="B136" s="6" t="n">
        <v>46245</v>
      </c>
      <c r="C136" s="5" t="s">
        <v>50</v>
      </c>
      <c r="D136" s="5" t="s">
        <v>51</v>
      </c>
      <c r="E136" s="7" t="n">
        <v>1230</v>
      </c>
    </row>
    <row r="137" customFormat="false" ht="15" hidden="false" customHeight="false" outlineLevel="0" collapsed="false">
      <c r="A137" s="5" t="s">
        <v>179</v>
      </c>
      <c r="B137" s="6" t="n">
        <v>46247</v>
      </c>
      <c r="C137" s="5" t="s">
        <v>38</v>
      </c>
      <c r="D137" s="5" t="s">
        <v>39</v>
      </c>
      <c r="E137" s="7" t="n">
        <v>760</v>
      </c>
    </row>
    <row r="138" customFormat="false" ht="15" hidden="false" customHeight="false" outlineLevel="0" collapsed="false">
      <c r="A138" s="5" t="s">
        <v>180</v>
      </c>
      <c r="B138" s="6" t="n">
        <v>46244</v>
      </c>
      <c r="C138" s="5" t="s">
        <v>72</v>
      </c>
      <c r="D138" s="5" t="s">
        <v>36</v>
      </c>
      <c r="E138" s="7" t="n">
        <v>560</v>
      </c>
    </row>
    <row r="139" customFormat="false" ht="15" hidden="false" customHeight="false" outlineLevel="0" collapsed="false">
      <c r="A139" s="5" t="s">
        <v>181</v>
      </c>
      <c r="B139" s="6" t="n">
        <v>46256</v>
      </c>
      <c r="C139" s="5" t="s">
        <v>72</v>
      </c>
      <c r="D139" s="5" t="s">
        <v>36</v>
      </c>
      <c r="E139" s="7" t="n">
        <v>620</v>
      </c>
    </row>
    <row r="140" customFormat="false" ht="15" hidden="false" customHeight="false" outlineLevel="0" collapsed="false">
      <c r="A140" s="5" t="s">
        <v>182</v>
      </c>
      <c r="B140" s="6" t="n">
        <v>46247</v>
      </c>
      <c r="C140" s="5" t="s">
        <v>59</v>
      </c>
      <c r="D140" s="5" t="s">
        <v>51</v>
      </c>
      <c r="E140" s="7" t="n">
        <v>1060</v>
      </c>
    </row>
    <row r="141" customFormat="false" ht="15" hidden="false" customHeight="false" outlineLevel="0" collapsed="false">
      <c r="A141" s="5" t="s">
        <v>183</v>
      </c>
      <c r="B141" s="6" t="n">
        <v>46239</v>
      </c>
      <c r="C141" s="5" t="s">
        <v>50</v>
      </c>
      <c r="D141" s="5" t="s">
        <v>51</v>
      </c>
      <c r="E141" s="7" t="n">
        <v>230</v>
      </c>
    </row>
    <row r="142" customFormat="false" ht="15" hidden="false" customHeight="false" outlineLevel="0" collapsed="false">
      <c r="A142" s="5" t="s">
        <v>184</v>
      </c>
      <c r="B142" s="6" t="n">
        <v>46259</v>
      </c>
      <c r="C142" s="5" t="s">
        <v>72</v>
      </c>
      <c r="D142" s="5" t="s">
        <v>36</v>
      </c>
      <c r="E142" s="7" t="n">
        <v>520</v>
      </c>
    </row>
    <row r="143" customFormat="false" ht="15" hidden="false" customHeight="false" outlineLevel="0" collapsed="false">
      <c r="A143" s="5" t="s">
        <v>185</v>
      </c>
      <c r="B143" s="6" t="n">
        <v>46237</v>
      </c>
      <c r="C143" s="5" t="s">
        <v>53</v>
      </c>
      <c r="D143" s="5" t="s">
        <v>54</v>
      </c>
      <c r="E143" s="7" t="n">
        <v>830</v>
      </c>
    </row>
    <row r="144" customFormat="false" ht="15" hidden="false" customHeight="false" outlineLevel="0" collapsed="false">
      <c r="A144" s="5" t="s">
        <v>186</v>
      </c>
      <c r="B144" s="6" t="n">
        <v>46263</v>
      </c>
      <c r="C144" s="5" t="s">
        <v>35</v>
      </c>
      <c r="D144" s="5" t="s">
        <v>36</v>
      </c>
      <c r="E144" s="7" t="n">
        <v>1250</v>
      </c>
    </row>
    <row r="145" customFormat="false" ht="15" hidden="false" customHeight="false" outlineLevel="0" collapsed="false">
      <c r="A145" s="5" t="s">
        <v>187</v>
      </c>
      <c r="B145" s="6" t="n">
        <v>46257</v>
      </c>
      <c r="C145" s="5" t="s">
        <v>32</v>
      </c>
      <c r="D145" s="5" t="s">
        <v>33</v>
      </c>
      <c r="E145" s="7" t="n">
        <v>990</v>
      </c>
    </row>
    <row r="146" customFormat="false" ht="15" hidden="false" customHeight="false" outlineLevel="0" collapsed="false">
      <c r="A146" s="5" t="s">
        <v>188</v>
      </c>
      <c r="B146" s="6" t="n">
        <v>46241</v>
      </c>
      <c r="C146" s="5" t="s">
        <v>53</v>
      </c>
      <c r="D146" s="5" t="s">
        <v>54</v>
      </c>
      <c r="E146" s="7" t="n">
        <v>1010</v>
      </c>
    </row>
    <row r="147" customFormat="false" ht="15" hidden="false" customHeight="false" outlineLevel="0" collapsed="false">
      <c r="A147" s="5" t="s">
        <v>189</v>
      </c>
      <c r="B147" s="6" t="n">
        <v>46249</v>
      </c>
      <c r="C147" s="5" t="s">
        <v>72</v>
      </c>
      <c r="D147" s="5" t="s">
        <v>36</v>
      </c>
      <c r="E147" s="7" t="n">
        <v>220</v>
      </c>
    </row>
    <row r="148" customFormat="false" ht="15" hidden="false" customHeight="false" outlineLevel="0" collapsed="false">
      <c r="A148" s="5" t="s">
        <v>190</v>
      </c>
      <c r="B148" s="6" t="n">
        <v>46277</v>
      </c>
      <c r="C148" s="5" t="s">
        <v>42</v>
      </c>
      <c r="D148" s="5" t="s">
        <v>39</v>
      </c>
      <c r="E148" s="7" t="n">
        <v>210</v>
      </c>
    </row>
    <row r="149" customFormat="false" ht="15" hidden="false" customHeight="false" outlineLevel="0" collapsed="false">
      <c r="A149" s="5" t="s">
        <v>191</v>
      </c>
      <c r="B149" s="6" t="n">
        <v>46283</v>
      </c>
      <c r="C149" s="5" t="s">
        <v>38</v>
      </c>
      <c r="D149" s="5" t="s">
        <v>39</v>
      </c>
      <c r="E149" s="7" t="n">
        <v>1200</v>
      </c>
    </row>
    <row r="150" customFormat="false" ht="15" hidden="false" customHeight="false" outlineLevel="0" collapsed="false">
      <c r="A150" s="5" t="s">
        <v>192</v>
      </c>
      <c r="B150" s="6" t="n">
        <v>46295</v>
      </c>
      <c r="C150" s="5" t="s">
        <v>53</v>
      </c>
      <c r="D150" s="5" t="s">
        <v>54</v>
      </c>
      <c r="E150" s="7" t="n">
        <v>380</v>
      </c>
    </row>
    <row r="151" customFormat="false" ht="15" hidden="false" customHeight="false" outlineLevel="0" collapsed="false">
      <c r="A151" s="5" t="s">
        <v>193</v>
      </c>
      <c r="B151" s="6" t="n">
        <v>46288</v>
      </c>
      <c r="C151" s="5" t="s">
        <v>59</v>
      </c>
      <c r="D151" s="5" t="s">
        <v>51</v>
      </c>
      <c r="E151" s="7" t="n">
        <v>770</v>
      </c>
    </row>
    <row r="152" customFormat="false" ht="15" hidden="false" customHeight="false" outlineLevel="0" collapsed="false">
      <c r="A152" s="5" t="s">
        <v>194</v>
      </c>
      <c r="B152" s="6" t="n">
        <v>46266</v>
      </c>
      <c r="C152" s="5" t="s">
        <v>72</v>
      </c>
      <c r="D152" s="5" t="s">
        <v>36</v>
      </c>
      <c r="E152" s="7" t="n">
        <v>600</v>
      </c>
    </row>
    <row r="153" customFormat="false" ht="15" hidden="false" customHeight="false" outlineLevel="0" collapsed="false">
      <c r="A153" s="5" t="s">
        <v>195</v>
      </c>
      <c r="B153" s="6" t="n">
        <v>46271</v>
      </c>
      <c r="C153" s="5" t="s">
        <v>42</v>
      </c>
      <c r="D153" s="5" t="s">
        <v>39</v>
      </c>
      <c r="E153" s="7" t="n">
        <v>830</v>
      </c>
    </row>
    <row r="154" customFormat="false" ht="15" hidden="false" customHeight="false" outlineLevel="0" collapsed="false">
      <c r="A154" s="5" t="s">
        <v>196</v>
      </c>
      <c r="B154" s="6" t="n">
        <v>46277</v>
      </c>
      <c r="C154" s="5" t="s">
        <v>72</v>
      </c>
      <c r="D154" s="5" t="s">
        <v>36</v>
      </c>
      <c r="E154" s="7" t="n">
        <v>1400</v>
      </c>
    </row>
    <row r="155" customFormat="false" ht="15" hidden="false" customHeight="false" outlineLevel="0" collapsed="false">
      <c r="A155" s="5" t="s">
        <v>197</v>
      </c>
      <c r="B155" s="6" t="n">
        <v>46281</v>
      </c>
      <c r="C155" s="5" t="s">
        <v>42</v>
      </c>
      <c r="D155" s="5" t="s">
        <v>39</v>
      </c>
      <c r="E155" s="7" t="n">
        <v>490</v>
      </c>
    </row>
    <row r="156" customFormat="false" ht="15" hidden="false" customHeight="false" outlineLevel="0" collapsed="false">
      <c r="A156" s="5" t="s">
        <v>198</v>
      </c>
      <c r="B156" s="6" t="n">
        <v>46276</v>
      </c>
      <c r="C156" s="5" t="s">
        <v>72</v>
      </c>
      <c r="D156" s="5" t="s">
        <v>36</v>
      </c>
      <c r="E156" s="7" t="n">
        <v>1360</v>
      </c>
    </row>
    <row r="157" customFormat="false" ht="15" hidden="false" customHeight="false" outlineLevel="0" collapsed="false">
      <c r="A157" s="5" t="s">
        <v>199</v>
      </c>
      <c r="B157" s="6" t="n">
        <v>46286</v>
      </c>
      <c r="C157" s="5" t="s">
        <v>53</v>
      </c>
      <c r="D157" s="5" t="s">
        <v>54</v>
      </c>
      <c r="E157" s="7" t="n">
        <v>1110</v>
      </c>
    </row>
    <row r="158" customFormat="false" ht="15" hidden="false" customHeight="false" outlineLevel="0" collapsed="false">
      <c r="A158" s="5" t="s">
        <v>200</v>
      </c>
      <c r="B158" s="6" t="n">
        <v>46273</v>
      </c>
      <c r="C158" s="5" t="s">
        <v>32</v>
      </c>
      <c r="D158" s="5" t="s">
        <v>33</v>
      </c>
      <c r="E158" s="7" t="n">
        <v>900</v>
      </c>
    </row>
    <row r="159" customFormat="false" ht="15" hidden="false" customHeight="false" outlineLevel="0" collapsed="false">
      <c r="A159" s="5" t="s">
        <v>201</v>
      </c>
      <c r="B159" s="6" t="n">
        <v>46286</v>
      </c>
      <c r="C159" s="5" t="s">
        <v>53</v>
      </c>
      <c r="D159" s="5" t="s">
        <v>54</v>
      </c>
      <c r="E159" s="7" t="n">
        <v>180</v>
      </c>
    </row>
    <row r="160" customFormat="false" ht="15" hidden="false" customHeight="false" outlineLevel="0" collapsed="false">
      <c r="A160" s="5" t="s">
        <v>202</v>
      </c>
      <c r="B160" s="6" t="n">
        <v>46294</v>
      </c>
      <c r="C160" s="5" t="s">
        <v>53</v>
      </c>
      <c r="D160" s="5" t="s">
        <v>54</v>
      </c>
      <c r="E160" s="7" t="n">
        <v>160</v>
      </c>
    </row>
    <row r="161" customFormat="false" ht="15" hidden="false" customHeight="false" outlineLevel="0" collapsed="false">
      <c r="A161" s="5" t="s">
        <v>203</v>
      </c>
      <c r="B161" s="6" t="n">
        <v>46286</v>
      </c>
      <c r="C161" s="5" t="s">
        <v>72</v>
      </c>
      <c r="D161" s="5" t="s">
        <v>36</v>
      </c>
      <c r="E161" s="7" t="n">
        <v>1260</v>
      </c>
    </row>
    <row r="162" customFormat="false" ht="15" hidden="false" customHeight="false" outlineLevel="0" collapsed="false">
      <c r="A162" s="5" t="s">
        <v>204</v>
      </c>
      <c r="B162" s="6" t="n">
        <v>46266</v>
      </c>
      <c r="C162" s="5" t="s">
        <v>59</v>
      </c>
      <c r="D162" s="5" t="s">
        <v>51</v>
      </c>
      <c r="E162" s="7" t="n">
        <v>700</v>
      </c>
    </row>
    <row r="163" customFormat="false" ht="15" hidden="false" customHeight="false" outlineLevel="0" collapsed="false">
      <c r="A163" s="5" t="s">
        <v>205</v>
      </c>
      <c r="B163" s="6" t="n">
        <v>46266</v>
      </c>
      <c r="C163" s="5" t="s">
        <v>59</v>
      </c>
      <c r="D163" s="5" t="s">
        <v>51</v>
      </c>
      <c r="E163" s="7" t="n">
        <v>400</v>
      </c>
    </row>
    <row r="164" customFormat="false" ht="15" hidden="false" customHeight="false" outlineLevel="0" collapsed="false">
      <c r="A164" s="5" t="s">
        <v>206</v>
      </c>
      <c r="B164" s="6" t="n">
        <v>46285</v>
      </c>
      <c r="C164" s="5" t="s">
        <v>72</v>
      </c>
      <c r="D164" s="5" t="s">
        <v>36</v>
      </c>
      <c r="E164" s="7" t="n">
        <v>760</v>
      </c>
    </row>
    <row r="165" customFormat="false" ht="15" hidden="false" customHeight="false" outlineLevel="0" collapsed="false">
      <c r="A165" s="5" t="s">
        <v>207</v>
      </c>
      <c r="B165" s="6" t="n">
        <v>46274</v>
      </c>
      <c r="C165" s="5" t="s">
        <v>53</v>
      </c>
      <c r="D165" s="5" t="s">
        <v>54</v>
      </c>
      <c r="E165" s="7" t="n">
        <v>190</v>
      </c>
    </row>
    <row r="166" customFormat="false" ht="15" hidden="false" customHeight="false" outlineLevel="0" collapsed="false">
      <c r="A166" s="5" t="s">
        <v>208</v>
      </c>
      <c r="B166" s="6" t="n">
        <v>46267</v>
      </c>
      <c r="C166" s="5" t="s">
        <v>38</v>
      </c>
      <c r="D166" s="5" t="s">
        <v>39</v>
      </c>
      <c r="E166" s="7" t="n">
        <v>980</v>
      </c>
    </row>
    <row r="167" customFormat="false" ht="15" hidden="false" customHeight="false" outlineLevel="0" collapsed="false">
      <c r="A167" s="5" t="s">
        <v>209</v>
      </c>
      <c r="B167" s="6" t="n">
        <v>46276</v>
      </c>
      <c r="C167" s="5" t="s">
        <v>35</v>
      </c>
      <c r="D167" s="5" t="s">
        <v>36</v>
      </c>
      <c r="E167" s="7" t="n">
        <v>1010</v>
      </c>
    </row>
    <row r="168" customFormat="false" ht="15" hidden="false" customHeight="false" outlineLevel="0" collapsed="false">
      <c r="A168" s="5" t="s">
        <v>210</v>
      </c>
      <c r="B168" s="6" t="n">
        <v>46273</v>
      </c>
      <c r="C168" s="5" t="s">
        <v>72</v>
      </c>
      <c r="D168" s="5" t="s">
        <v>36</v>
      </c>
      <c r="E168" s="7" t="n">
        <v>260</v>
      </c>
    </row>
    <row r="169" customFormat="false" ht="15" hidden="false" customHeight="false" outlineLevel="0" collapsed="false">
      <c r="A169" s="5" t="s">
        <v>211</v>
      </c>
      <c r="B169" s="6" t="n">
        <v>46270</v>
      </c>
      <c r="C169" s="5" t="s">
        <v>35</v>
      </c>
      <c r="D169" s="5" t="s">
        <v>36</v>
      </c>
      <c r="E169" s="7" t="n">
        <v>810</v>
      </c>
    </row>
    <row r="170" customFormat="false" ht="15" hidden="false" customHeight="false" outlineLevel="0" collapsed="false">
      <c r="A170" s="5" t="s">
        <v>212</v>
      </c>
      <c r="B170" s="6" t="n">
        <v>46292</v>
      </c>
      <c r="C170" s="5" t="s">
        <v>32</v>
      </c>
      <c r="D170" s="5" t="s">
        <v>33</v>
      </c>
      <c r="E170" s="7" t="n">
        <v>1050</v>
      </c>
    </row>
    <row r="171" customFormat="false" ht="15" hidden="false" customHeight="false" outlineLevel="0" collapsed="false">
      <c r="A171" s="5" t="s">
        <v>213</v>
      </c>
      <c r="B171" s="6" t="n">
        <v>46273</v>
      </c>
      <c r="C171" s="5" t="s">
        <v>50</v>
      </c>
      <c r="D171" s="5" t="s">
        <v>51</v>
      </c>
      <c r="E171" s="7" t="n">
        <v>360</v>
      </c>
    </row>
    <row r="172" customFormat="false" ht="15" hidden="false" customHeight="false" outlineLevel="0" collapsed="false">
      <c r="A172" s="5" t="s">
        <v>214</v>
      </c>
      <c r="B172" s="6" t="n">
        <v>46267</v>
      </c>
      <c r="C172" s="5" t="s">
        <v>38</v>
      </c>
      <c r="D172" s="5" t="s">
        <v>39</v>
      </c>
      <c r="E172" s="7" t="n">
        <v>920</v>
      </c>
    </row>
    <row r="173" customFormat="false" ht="15" hidden="false" customHeight="false" outlineLevel="0" collapsed="false">
      <c r="A173" s="5" t="s">
        <v>215</v>
      </c>
      <c r="B173" s="6" t="n">
        <v>46293</v>
      </c>
      <c r="C173" s="5" t="s">
        <v>72</v>
      </c>
      <c r="D173" s="5" t="s">
        <v>36</v>
      </c>
      <c r="E173" s="7" t="n">
        <v>840</v>
      </c>
    </row>
    <row r="174" customFormat="false" ht="15" hidden="false" customHeight="false" outlineLevel="0" collapsed="false">
      <c r="A174" s="5" t="s">
        <v>216</v>
      </c>
      <c r="B174" s="6" t="n">
        <v>46282</v>
      </c>
      <c r="C174" s="5" t="s">
        <v>53</v>
      </c>
      <c r="D174" s="5" t="s">
        <v>54</v>
      </c>
      <c r="E174" s="7" t="n">
        <v>550</v>
      </c>
    </row>
    <row r="175" customFormat="false" ht="15" hidden="false" customHeight="false" outlineLevel="0" collapsed="false">
      <c r="A175" s="5" t="s">
        <v>217</v>
      </c>
      <c r="B175" s="6" t="n">
        <v>46282</v>
      </c>
      <c r="C175" s="5" t="s">
        <v>35</v>
      </c>
      <c r="D175" s="5" t="s">
        <v>36</v>
      </c>
      <c r="E175" s="7" t="n">
        <v>310</v>
      </c>
    </row>
    <row r="176" customFormat="false" ht="15" hidden="false" customHeight="false" outlineLevel="0" collapsed="false">
      <c r="A176" s="5" t="s">
        <v>218</v>
      </c>
      <c r="B176" s="6" t="n">
        <v>46278</v>
      </c>
      <c r="C176" s="5" t="s">
        <v>32</v>
      </c>
      <c r="D176" s="5" t="s">
        <v>33</v>
      </c>
      <c r="E176" s="7" t="n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5" min="2" style="0" width="10"/>
  </cols>
  <sheetData>
    <row r="2" customFormat="false" ht="19.5" hidden="false" customHeight="true" outlineLevel="0" collapsed="false">
      <c r="B2" s="8" t="s">
        <v>219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customFormat="false" ht="19.5" hidden="false" customHeight="true" outlineLevel="0" collapsed="false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customFormat="false" ht="19.5" hidden="false" customHeight="true" outlineLevel="0" collapsed="false"/>
    <row r="5" customFormat="false" ht="19.5" hidden="false" customHeight="true" outlineLevel="0" collapsed="false">
      <c r="B5" s="9" t="s">
        <v>220</v>
      </c>
      <c r="C5" s="9"/>
      <c r="D5" s="9"/>
      <c r="E5" s="9"/>
      <c r="G5" s="9" t="s">
        <v>221</v>
      </c>
      <c r="H5" s="9"/>
      <c r="I5" s="9"/>
      <c r="J5" s="9"/>
      <c r="L5" s="9" t="s">
        <v>222</v>
      </c>
      <c r="M5" s="9"/>
      <c r="N5" s="9"/>
      <c r="O5" s="9"/>
    </row>
    <row r="6" customFormat="false" ht="19.5" hidden="false" customHeight="true" outlineLevel="0" collapsed="false">
      <c r="B6" s="9"/>
      <c r="C6" s="9"/>
      <c r="D6" s="9"/>
      <c r="E6" s="9"/>
      <c r="G6" s="9"/>
      <c r="H6" s="9"/>
      <c r="I6" s="9"/>
      <c r="J6" s="9"/>
      <c r="L6" s="9"/>
      <c r="M6" s="9"/>
      <c r="N6" s="9"/>
      <c r="O6" s="9"/>
    </row>
    <row r="7" customFormat="false" ht="19.5" hidden="false" customHeight="true" outlineLevel="0" collapsed="false">
      <c r="B7" s="9"/>
      <c r="C7" s="9"/>
      <c r="D7" s="9"/>
      <c r="E7" s="9"/>
      <c r="G7" s="9"/>
      <c r="H7" s="9"/>
      <c r="I7" s="9"/>
      <c r="J7" s="9"/>
      <c r="L7" s="9"/>
      <c r="M7" s="9"/>
      <c r="N7" s="9"/>
      <c r="O7" s="9"/>
    </row>
    <row r="8" customFormat="false" ht="19.5" hidden="false" customHeight="true" outlineLevel="0" collapsed="false"/>
    <row r="9" customFormat="false" ht="19.5" hidden="false" customHeight="true" outlineLevel="0" collapsed="false">
      <c r="B9" s="10" t="s">
        <v>223</v>
      </c>
      <c r="C9" s="10"/>
      <c r="D9" s="10"/>
      <c r="E9" s="10"/>
      <c r="F9" s="10"/>
      <c r="G9" s="10"/>
      <c r="H9" s="10"/>
      <c r="I9" s="10"/>
      <c r="K9" s="11" t="s">
        <v>224</v>
      </c>
      <c r="L9" s="11"/>
      <c r="M9" s="11"/>
      <c r="N9" s="11"/>
      <c r="O9" s="11"/>
    </row>
    <row r="10" customFormat="false" ht="19.5" hidden="false" customHeight="true" outlineLevel="0" collapsed="false">
      <c r="B10" s="10"/>
      <c r="C10" s="10"/>
      <c r="D10" s="10"/>
      <c r="E10" s="10"/>
      <c r="F10" s="10"/>
      <c r="G10" s="10"/>
      <c r="H10" s="10"/>
      <c r="I10" s="10"/>
      <c r="K10" s="11"/>
      <c r="L10" s="11"/>
      <c r="M10" s="11"/>
      <c r="N10" s="11"/>
      <c r="O10" s="11"/>
    </row>
    <row r="11" customFormat="false" ht="19.5" hidden="false" customHeight="true" outlineLevel="0" collapsed="false">
      <c r="B11" s="10"/>
      <c r="C11" s="10"/>
      <c r="D11" s="10"/>
      <c r="E11" s="10"/>
      <c r="F11" s="10"/>
      <c r="G11" s="10"/>
      <c r="H11" s="10"/>
      <c r="I11" s="10"/>
      <c r="K11" s="11"/>
      <c r="L11" s="11"/>
      <c r="M11" s="11"/>
      <c r="N11" s="11"/>
      <c r="O11" s="11"/>
    </row>
    <row r="12" customFormat="false" ht="19.5" hidden="false" customHeight="true" outlineLevel="0" collapsed="false">
      <c r="B12" s="10"/>
      <c r="C12" s="10"/>
      <c r="D12" s="10"/>
      <c r="E12" s="10"/>
      <c r="F12" s="10"/>
      <c r="G12" s="10"/>
      <c r="H12" s="10"/>
      <c r="I12" s="10"/>
      <c r="K12" s="11"/>
      <c r="L12" s="11"/>
      <c r="M12" s="11"/>
      <c r="N12" s="11"/>
      <c r="O12" s="11"/>
    </row>
    <row r="13" customFormat="false" ht="19.5" hidden="false" customHeight="true" outlineLevel="0" collapsed="false">
      <c r="B13" s="10"/>
      <c r="C13" s="10"/>
      <c r="D13" s="10"/>
      <c r="E13" s="10"/>
      <c r="F13" s="10"/>
      <c r="G13" s="10"/>
      <c r="H13" s="10"/>
      <c r="I13" s="10"/>
      <c r="K13" s="11"/>
      <c r="L13" s="11"/>
      <c r="M13" s="11"/>
      <c r="N13" s="11"/>
      <c r="O13" s="11"/>
    </row>
    <row r="14" customFormat="false" ht="19.5" hidden="false" customHeight="true" outlineLevel="0" collapsed="false">
      <c r="B14" s="10"/>
      <c r="C14" s="10"/>
      <c r="D14" s="10"/>
      <c r="E14" s="10"/>
      <c r="F14" s="10"/>
      <c r="G14" s="10"/>
      <c r="H14" s="10"/>
      <c r="I14" s="10"/>
      <c r="K14" s="11"/>
      <c r="L14" s="11"/>
      <c r="M14" s="11"/>
      <c r="N14" s="11"/>
      <c r="O14" s="11"/>
    </row>
    <row r="15" customFormat="false" ht="19.5" hidden="false" customHeight="true" outlineLevel="0" collapsed="false">
      <c r="B15" s="10"/>
      <c r="C15" s="10"/>
      <c r="D15" s="10"/>
      <c r="E15" s="10"/>
      <c r="F15" s="10"/>
      <c r="G15" s="10"/>
      <c r="H15" s="10"/>
      <c r="I15" s="10"/>
      <c r="K15" s="12" t="s">
        <v>225</v>
      </c>
      <c r="L15" s="12"/>
      <c r="M15" s="12"/>
      <c r="N15" s="12"/>
      <c r="O15" s="12"/>
    </row>
    <row r="16" customFormat="false" ht="19.5" hidden="false" customHeight="true" outlineLevel="0" collapsed="false">
      <c r="B16" s="10"/>
      <c r="C16" s="10"/>
      <c r="D16" s="10"/>
      <c r="E16" s="10"/>
      <c r="F16" s="10"/>
      <c r="G16" s="10"/>
      <c r="H16" s="10"/>
      <c r="I16" s="10"/>
      <c r="K16" s="12"/>
      <c r="L16" s="12"/>
      <c r="M16" s="12"/>
      <c r="N16" s="12"/>
      <c r="O16" s="12"/>
    </row>
    <row r="17" customFormat="false" ht="19.5" hidden="false" customHeight="true" outlineLevel="0" collapsed="false">
      <c r="B17" s="10"/>
      <c r="C17" s="10"/>
      <c r="D17" s="10"/>
      <c r="E17" s="10"/>
      <c r="F17" s="10"/>
      <c r="G17" s="10"/>
      <c r="H17" s="10"/>
      <c r="I17" s="10"/>
      <c r="K17" s="12"/>
      <c r="L17" s="12"/>
      <c r="M17" s="12"/>
      <c r="N17" s="12"/>
      <c r="O17" s="12"/>
    </row>
    <row r="18" customFormat="false" ht="19.5" hidden="false" customHeight="true" outlineLevel="0" collapsed="false">
      <c r="B18" s="10"/>
      <c r="C18" s="10"/>
      <c r="D18" s="10"/>
      <c r="E18" s="10"/>
      <c r="F18" s="10"/>
      <c r="G18" s="10"/>
      <c r="H18" s="10"/>
      <c r="I18" s="10"/>
      <c r="K18" s="12"/>
      <c r="L18" s="12"/>
      <c r="M18" s="12"/>
      <c r="N18" s="12"/>
      <c r="O18" s="12"/>
    </row>
    <row r="19" customFormat="false" ht="19.5" hidden="false" customHeight="true" outlineLevel="0" collapsed="false">
      <c r="B19" s="10"/>
      <c r="C19" s="10"/>
      <c r="D19" s="10"/>
      <c r="E19" s="10"/>
      <c r="F19" s="10"/>
      <c r="G19" s="10"/>
      <c r="H19" s="10"/>
      <c r="I19" s="10"/>
      <c r="K19" s="12"/>
      <c r="L19" s="12"/>
      <c r="M19" s="12"/>
      <c r="N19" s="12"/>
      <c r="O19" s="12"/>
    </row>
    <row r="20" customFormat="false" ht="19.5" hidden="false" customHeight="true" outlineLevel="0" collapsed="false">
      <c r="B20" s="10"/>
      <c r="C20" s="10"/>
      <c r="D20" s="10"/>
      <c r="E20" s="10"/>
      <c r="F20" s="10"/>
      <c r="G20" s="10"/>
      <c r="H20" s="10"/>
      <c r="I20" s="10"/>
      <c r="K20" s="12"/>
      <c r="L20" s="12"/>
      <c r="M20" s="12"/>
      <c r="N20" s="12"/>
      <c r="O20" s="12"/>
    </row>
    <row r="21" customFormat="false" ht="19.5" hidden="false" customHeight="true" outlineLevel="0" collapsed="false"/>
    <row r="22" customFormat="false" ht="19.5" hidden="false" customHeight="true" outlineLevel="0" collapsed="false">
      <c r="B22" s="13" t="s">
        <v>226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customFormat="false" ht="19.5" hidden="false" customHeight="true" outlineLevel="0" collapsed="false"/>
    <row r="24" customFormat="false" ht="15" hidden="false" customHeight="false" outlineLevel="0" collapsed="false">
      <c r="B24" s="14" t="s">
        <v>227</v>
      </c>
    </row>
  </sheetData>
  <mergeCells count="8">
    <mergeCell ref="B2:O3"/>
    <mergeCell ref="B5:E7"/>
    <mergeCell ref="G5:J7"/>
    <mergeCell ref="L5:O7"/>
    <mergeCell ref="B9:I20"/>
    <mergeCell ref="K9:O14"/>
    <mergeCell ref="K15:O20"/>
    <mergeCell ref="B22:O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L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1"/>
  </cols>
  <sheetData>
    <row r="3" customFormat="false" ht="21.75" hidden="false" customHeight="true" outlineLevel="0" collapsed="false">
      <c r="B3" s="9" t="s">
        <v>228</v>
      </c>
      <c r="C3" s="9"/>
      <c r="D3" s="9"/>
      <c r="F3" s="15" t="s">
        <v>229</v>
      </c>
      <c r="G3" s="15"/>
      <c r="H3" s="15"/>
      <c r="J3" s="16" t="s">
        <v>230</v>
      </c>
      <c r="K3" s="16"/>
      <c r="L3" s="16"/>
    </row>
    <row r="4" customFormat="false" ht="39.75" hidden="false" customHeight="true" outlineLevel="0" collapsed="false">
      <c r="B4" s="17" t="n">
        <f aca="false">MIN(Data!E2:E176)</f>
        <v>160</v>
      </c>
      <c r="C4" s="17"/>
      <c r="D4" s="17"/>
      <c r="F4" s="18" t="n">
        <f aca="false">MAX(Data!E2:E176)</f>
        <v>1460</v>
      </c>
      <c r="G4" s="18"/>
      <c r="H4" s="18"/>
      <c r="J4" s="19" t="n">
        <f aca="false">AVERAGE(Data!E2:E176)</f>
        <v>776.742857142857</v>
      </c>
      <c r="K4" s="19"/>
      <c r="L4" s="19"/>
    </row>
    <row r="5" customFormat="false" ht="15" hidden="false" customHeight="false" outlineLevel="0" collapsed="false">
      <c r="B5" s="17"/>
      <c r="C5" s="17"/>
      <c r="D5" s="17"/>
      <c r="F5" s="18"/>
      <c r="G5" s="18"/>
      <c r="H5" s="18"/>
      <c r="J5" s="19"/>
      <c r="K5" s="19"/>
      <c r="L5" s="19"/>
    </row>
    <row r="7" customFormat="false" ht="15" hidden="false" customHeight="false" outlineLevel="0" collapsed="false">
      <c r="B7" s="14" t="s">
        <v>231</v>
      </c>
    </row>
  </sheetData>
  <mergeCells count="6">
    <mergeCell ref="B3:D3"/>
    <mergeCell ref="F3:H3"/>
    <mergeCell ref="J3:L3"/>
    <mergeCell ref="B4:D5"/>
    <mergeCell ref="F4:H5"/>
    <mergeCell ref="J4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7"/>
  </cols>
  <sheetData>
    <row r="1" customFormat="false" ht="15" hidden="false" customHeight="false" outlineLevel="0" collapsed="false">
      <c r="A1" s="3" t="s">
        <v>29</v>
      </c>
      <c r="B1" s="3" t="s">
        <v>232</v>
      </c>
      <c r="C1" s="3" t="s">
        <v>233</v>
      </c>
    </row>
    <row r="2" customFormat="false" ht="15" hidden="false" customHeight="false" outlineLevel="0" collapsed="false">
      <c r="A2" s="5" t="s">
        <v>36</v>
      </c>
      <c r="B2" s="5" t="n">
        <f aca="false">COUNTIF(Data!$D$2:$D$176,A2)</f>
        <v>53</v>
      </c>
      <c r="C2" s="20" t="n">
        <f aca="false">B2/SUM($B$2:$B$6)</f>
        <v>0.302857142857143</v>
      </c>
    </row>
    <row r="3" customFormat="false" ht="15" hidden="false" customHeight="false" outlineLevel="0" collapsed="false">
      <c r="A3" s="5" t="s">
        <v>39</v>
      </c>
      <c r="B3" s="5" t="n">
        <f aca="false">COUNTIF(Data!$D$2:$D$176,A3)</f>
        <v>40</v>
      </c>
      <c r="C3" s="20" t="n">
        <f aca="false">B3/SUM($B$2:$B$6)</f>
        <v>0.228571428571429</v>
      </c>
    </row>
    <row r="4" customFormat="false" ht="15" hidden="false" customHeight="false" outlineLevel="0" collapsed="false">
      <c r="A4" s="5" t="s">
        <v>51</v>
      </c>
      <c r="B4" s="5" t="n">
        <f aca="false">COUNTIF(Data!$D$2:$D$176,A4)</f>
        <v>34</v>
      </c>
      <c r="C4" s="20" t="n">
        <f aca="false">B4/SUM($B$2:$B$6)</f>
        <v>0.194285714285714</v>
      </c>
    </row>
    <row r="5" customFormat="false" ht="15" hidden="false" customHeight="false" outlineLevel="0" collapsed="false">
      <c r="A5" s="5" t="s">
        <v>54</v>
      </c>
      <c r="B5" s="5" t="n">
        <f aca="false">COUNTIF(Data!$D$2:$D$176,A5)</f>
        <v>25</v>
      </c>
      <c r="C5" s="20" t="n">
        <f aca="false">B5/SUM($B$2:$B$6)</f>
        <v>0.142857142857143</v>
      </c>
    </row>
    <row r="6" customFormat="false" ht="15" hidden="false" customHeight="false" outlineLevel="0" collapsed="false">
      <c r="A6" s="5" t="s">
        <v>33</v>
      </c>
      <c r="B6" s="5" t="n">
        <f aca="false">COUNTIF(Data!$D$2:$D$176,A6)</f>
        <v>23</v>
      </c>
      <c r="C6" s="20" t="n">
        <f aca="false">B6/SUM($B$2:$B$6)</f>
        <v>0.131428571428571</v>
      </c>
    </row>
    <row r="7" customFormat="false" ht="15" hidden="false" customHeight="false" outlineLevel="0" collapsed="false">
      <c r="A7" s="21" t="s">
        <v>234</v>
      </c>
      <c r="B7" s="22" t="n">
        <f aca="false">SUM(B2:B6)</f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21"/>
    <col collapsed="false" customWidth="true" hidden="false" outlineLevel="0" max="8" min="5" style="0" width="17"/>
  </cols>
  <sheetData>
    <row r="1" customFormat="false" ht="15" hidden="false" customHeight="false" outlineLevel="0" collapsed="false">
      <c r="A1" s="3" t="s">
        <v>235</v>
      </c>
      <c r="B1" s="3" t="s">
        <v>236</v>
      </c>
      <c r="C1" s="3" t="s">
        <v>237</v>
      </c>
      <c r="D1" s="3" t="s">
        <v>238</v>
      </c>
      <c r="E1" s="3" t="s">
        <v>239</v>
      </c>
      <c r="F1" s="3" t="s">
        <v>234</v>
      </c>
      <c r="G1" s="3" t="s">
        <v>240</v>
      </c>
      <c r="H1" s="3" t="s">
        <v>241</v>
      </c>
    </row>
    <row r="2" customFormat="false" ht="15" hidden="false" customHeight="false" outlineLevel="0" collapsed="false">
      <c r="A2" s="5" t="s">
        <v>242</v>
      </c>
      <c r="B2" s="6" t="n">
        <v>46082</v>
      </c>
      <c r="C2" s="5" t="n">
        <f aca="false">COUNTIFS(Data!$B$2:$B$176,"&gt;="&amp;B2,Data!$B$2:$B$176,"&lt;="&amp;EOMONTH(B2,0))</f>
        <v>18</v>
      </c>
      <c r="D2" s="5"/>
      <c r="E2" s="5" t="n">
        <v>0</v>
      </c>
      <c r="F2" s="5" t="n">
        <f aca="false">C2</f>
        <v>18</v>
      </c>
      <c r="G2" s="5" t="n">
        <v>0</v>
      </c>
      <c r="H2" s="5" t="n">
        <v>0</v>
      </c>
    </row>
    <row r="3" customFormat="false" ht="15" hidden="false" customHeight="false" outlineLevel="0" collapsed="false">
      <c r="A3" s="5" t="s">
        <v>243</v>
      </c>
      <c r="B3" s="6" t="n">
        <v>46113</v>
      </c>
      <c r="C3" s="5" t="n">
        <f aca="false">COUNTIFS(Data!$B$2:$B$176,"&gt;="&amp;B3,Data!$B$2:$B$176,"&lt;="&amp;EOMONTH(B3,0))</f>
        <v>24</v>
      </c>
      <c r="D3" s="5" t="n">
        <f aca="false">C3-C2</f>
        <v>6</v>
      </c>
      <c r="E3" s="5" t="n">
        <f aca="false">MIN(C2,C3)</f>
        <v>18</v>
      </c>
      <c r="F3" s="5" t="n">
        <v>0</v>
      </c>
      <c r="G3" s="5" t="n">
        <f aca="false">MAX(D3,0)</f>
        <v>6</v>
      </c>
      <c r="H3" s="5" t="n">
        <f aca="false">MAX(-D3,0)</f>
        <v>0</v>
      </c>
    </row>
    <row r="4" customFormat="false" ht="15" hidden="false" customHeight="false" outlineLevel="0" collapsed="false">
      <c r="A4" s="5" t="s">
        <v>244</v>
      </c>
      <c r="B4" s="6" t="n">
        <v>46143</v>
      </c>
      <c r="C4" s="5" t="n">
        <f aca="false">COUNTIFS(Data!$B$2:$B$176,"&gt;="&amp;B4,Data!$B$2:$B$176,"&lt;="&amp;EOMONTH(B4,0))</f>
        <v>21</v>
      </c>
      <c r="D4" s="5" t="n">
        <f aca="false">C4-C3</f>
        <v>-3</v>
      </c>
      <c r="E4" s="5" t="n">
        <f aca="false">MIN(C3,C4)</f>
        <v>21</v>
      </c>
      <c r="F4" s="5" t="n">
        <v>0</v>
      </c>
      <c r="G4" s="5" t="n">
        <f aca="false">MAX(D4,0)</f>
        <v>0</v>
      </c>
      <c r="H4" s="5" t="n">
        <f aca="false">MAX(-D4,0)</f>
        <v>3</v>
      </c>
    </row>
    <row r="5" customFormat="false" ht="15" hidden="false" customHeight="false" outlineLevel="0" collapsed="false">
      <c r="A5" s="5" t="s">
        <v>245</v>
      </c>
      <c r="B5" s="6" t="n">
        <v>46174</v>
      </c>
      <c r="C5" s="5" t="n">
        <f aca="false">COUNTIFS(Data!$B$2:$B$176,"&gt;="&amp;B5,Data!$B$2:$B$176,"&lt;="&amp;EOMONTH(B5,0))</f>
        <v>27</v>
      </c>
      <c r="D5" s="5" t="n">
        <f aca="false">C5-C4</f>
        <v>6</v>
      </c>
      <c r="E5" s="5" t="n">
        <f aca="false">MIN(C4,C5)</f>
        <v>21</v>
      </c>
      <c r="F5" s="5" t="n">
        <v>0</v>
      </c>
      <c r="G5" s="5" t="n">
        <f aca="false">MAX(D5,0)</f>
        <v>6</v>
      </c>
      <c r="H5" s="5" t="n">
        <f aca="false">MAX(-D5,0)</f>
        <v>0</v>
      </c>
    </row>
    <row r="6" customFormat="false" ht="15" hidden="false" customHeight="false" outlineLevel="0" collapsed="false">
      <c r="A6" s="5" t="s">
        <v>246</v>
      </c>
      <c r="B6" s="6" t="n">
        <v>46204</v>
      </c>
      <c r="C6" s="5" t="n">
        <f aca="false">COUNTIFS(Data!$B$2:$B$176,"&gt;="&amp;B6,Data!$B$2:$B$176,"&lt;="&amp;EOMONTH(B6,0))</f>
        <v>25</v>
      </c>
      <c r="D6" s="5" t="n">
        <f aca="false">C6-C5</f>
        <v>-2</v>
      </c>
      <c r="E6" s="5" t="n">
        <f aca="false">MIN(C5,C6)</f>
        <v>25</v>
      </c>
      <c r="F6" s="5" t="n">
        <v>0</v>
      </c>
      <c r="G6" s="5" t="n">
        <f aca="false">MAX(D6,0)</f>
        <v>0</v>
      </c>
      <c r="H6" s="5" t="n">
        <f aca="false">MAX(-D6,0)</f>
        <v>2</v>
      </c>
    </row>
    <row r="7" customFormat="false" ht="15" hidden="false" customHeight="false" outlineLevel="0" collapsed="false">
      <c r="A7" s="5" t="s">
        <v>247</v>
      </c>
      <c r="B7" s="6" t="n">
        <v>46235</v>
      </c>
      <c r="C7" s="5" t="n">
        <f aca="false">COUNTIFS(Data!$B$2:$B$176,"&gt;="&amp;B7,Data!$B$2:$B$176,"&lt;="&amp;EOMONTH(B7,0))</f>
        <v>31</v>
      </c>
      <c r="D7" s="5" t="n">
        <f aca="false">C7-C6</f>
        <v>6</v>
      </c>
      <c r="E7" s="5" t="n">
        <f aca="false">MIN(C6,C7)</f>
        <v>25</v>
      </c>
      <c r="F7" s="5" t="n">
        <v>0</v>
      </c>
      <c r="G7" s="5" t="n">
        <f aca="false">MAX(D7,0)</f>
        <v>6</v>
      </c>
      <c r="H7" s="5" t="n">
        <f aca="false">MAX(-D7,0)</f>
        <v>0</v>
      </c>
    </row>
    <row r="8" customFormat="false" ht="15" hidden="false" customHeight="false" outlineLevel="0" collapsed="false">
      <c r="A8" s="5" t="s">
        <v>248</v>
      </c>
      <c r="B8" s="6" t="n">
        <v>46266</v>
      </c>
      <c r="C8" s="5" t="n">
        <f aca="false">COUNTIFS(Data!$B$2:$B$176,"&gt;="&amp;B8,Data!$B$2:$B$176,"&lt;="&amp;EOMONTH(B8,0))</f>
        <v>29</v>
      </c>
      <c r="D8" s="5" t="n">
        <f aca="false">C8-C7</f>
        <v>-2</v>
      </c>
      <c r="E8" s="5" t="n">
        <v>0</v>
      </c>
      <c r="F8" s="5" t="n">
        <f aca="false">C8</f>
        <v>29</v>
      </c>
      <c r="G8" s="5" t="n">
        <v>0</v>
      </c>
      <c r="H8" s="5" t="n">
        <v>0</v>
      </c>
    </row>
    <row r="10" customFormat="false" ht="15" hidden="false" customHeight="false" outlineLevel="0" collapsed="false">
      <c r="A10" s="22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5" min="2" style="0" width="10.51"/>
  </cols>
  <sheetData>
    <row r="1" customFormat="false" ht="19.5" hidden="false" customHeight="true" outlineLevel="0" collapsed="false">
      <c r="B1" s="23" t="s">
        <v>250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customFormat="false" ht="19.5" hidden="false" customHeight="true" outlineLevel="0" collapsed="false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4" customFormat="false" ht="19.5" hidden="false" customHeight="true" outlineLevel="0" collapsed="false">
      <c r="B4" s="24" t="s">
        <v>228</v>
      </c>
      <c r="C4" s="24"/>
      <c r="D4" s="24"/>
      <c r="E4" s="24"/>
      <c r="G4" s="25" t="s">
        <v>229</v>
      </c>
      <c r="H4" s="25"/>
      <c r="I4" s="25"/>
      <c r="J4" s="25"/>
      <c r="L4" s="26" t="s">
        <v>230</v>
      </c>
      <c r="M4" s="26"/>
      <c r="N4" s="26"/>
      <c r="O4" s="26"/>
    </row>
    <row r="5" customFormat="false" ht="21.75" hidden="false" customHeight="true" outlineLevel="0" collapsed="false">
      <c r="B5" s="27" t="n">
        <f aca="false">MIN(Data!E2:E176)</f>
        <v>160</v>
      </c>
      <c r="C5" s="27"/>
      <c r="D5" s="27"/>
      <c r="E5" s="27"/>
      <c r="G5" s="28" t="n">
        <f aca="false">MAX(Data!E2:E176)</f>
        <v>1460</v>
      </c>
      <c r="H5" s="28"/>
      <c r="I5" s="28"/>
      <c r="J5" s="28"/>
      <c r="L5" s="29" t="n">
        <f aca="false">AVERAGE(Data!E2:E176)</f>
        <v>776.742857142857</v>
      </c>
      <c r="M5" s="29"/>
      <c r="N5" s="29"/>
      <c r="O5" s="29"/>
    </row>
    <row r="6" customFormat="false" ht="21.75" hidden="false" customHeight="true" outlineLevel="0" collapsed="false">
      <c r="B6" s="27"/>
      <c r="C6" s="27"/>
      <c r="D6" s="27"/>
      <c r="E6" s="27"/>
      <c r="G6" s="28"/>
      <c r="H6" s="28"/>
      <c r="I6" s="28"/>
      <c r="J6" s="28"/>
      <c r="L6" s="29"/>
      <c r="M6" s="29"/>
      <c r="N6" s="29"/>
      <c r="O6" s="29"/>
    </row>
    <row r="26" customFormat="false" ht="15" hidden="false" customHeight="true" outlineLevel="0" collapsed="false">
      <c r="B26" s="30" t="s">
        <v>251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</row>
    <row r="27" customFormat="false" ht="15" hidden="false" customHeight="false" outlineLevel="0" collapsed="false">
      <c r="B27" s="31" t="str">
        <f aca="false">"Most ordered cuisine: "&amp;INDEX(T3_Donut!A2:A6,MATCH(MAX(T3_Donut!B2:B6),T3_Donut!B2:B6,0))&amp;" ("&amp;TEXT(MAX(T3_Donut!C2:C6),"0%")&amp;" of all orders)"</f>
        <v>Most ordered cuisine: Indian (30% of all orders)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</row>
    <row r="28" customFormat="false" ht="15" hidden="false" customHeight="false" outlineLevel="0" collapsed="false">
      <c r="B28" s="31" t="str">
        <f aca="false">"Strongest growth: "&amp;INDEX(T4_Waterfall!A3:A8,MATCH(MAX(T4_Waterfall!D3:D8),T4_Waterfall!D3:D8,0))&amp;" (+"&amp;MAX(T4_Waterfall!D3:D8)&amp;" orders vs the previous month)"</f>
        <v>Strongest growth: Apr (+6 orders vs the previous month)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</row>
    <row r="29" customFormat="false" ht="15" hidden="false" customHeight="false" outlineLevel="0" collapsed="false">
      <c r="B29" s="31" t="str">
        <f aca="false">"Total orders analysed: "&amp;COUNTA(Data!A2:A176)&amp;"  |  Highest single order: Rs "&amp;TEXT(MAX(Data!E2:E176),"#,##0")</f>
        <v>Total orders analysed: 175  |  Highest single order: Rs 1,460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</row>
    <row r="31" customFormat="false" ht="15" hidden="false" customHeight="true" outlineLevel="0" collapsed="false">
      <c r="B31" s="32" t="s">
        <v>252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</row>
  </sheetData>
  <mergeCells count="12">
    <mergeCell ref="B1:O2"/>
    <mergeCell ref="B4:E4"/>
    <mergeCell ref="G4:J4"/>
    <mergeCell ref="L4:O4"/>
    <mergeCell ref="B5:E6"/>
    <mergeCell ref="G5:J6"/>
    <mergeCell ref="L5:O6"/>
    <mergeCell ref="B26:O26"/>
    <mergeCell ref="B27:O27"/>
    <mergeCell ref="B28:O28"/>
    <mergeCell ref="B29:O29"/>
    <mergeCell ref="B31:O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2026-10-03T09:19:48Z</dcterms:created>
  <dc:creator>openpyxl</dc:creator>
  <dc:description/>
  <dc:language>en-US</dc:language>
  <cp:lastModifiedBy/>
  <dcterms:modified xsi:type="dcterms:W3CDTF">2026-10-03T09:19:50Z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