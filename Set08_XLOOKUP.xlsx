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firstSheet="6" activeTab="5"/>
  </bookViews>
  <sheets>
    <sheet name="Task Notes" sheetId="1" r:id="rId1"/>
    <sheet name="T1_XLOOKUP_Name" sheetId="2" r:id="rId2"/>
    <sheet name="T2_Last_Order" sheetId="3" r:id="rId3"/>
    <sheet name="T3_Playlist_Default" sheetId="4" r:id="rId4"/>
    <sheet name="T4_IRCTC_Errors" sheetId="5" r:id="rId5"/>
    <sheet name="T5_Myntra_ChatGPT" sheetId="6" r:id="rId6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<sst xmlns="http://schemas.openxmlformats.org/spreadsheetml/2006/main" count="171" uniqueCount="149">
  <si>
    <t>Product ID</t>
  </si>
  <si>
    <t>Name</t>
  </si>
  <si>
    <t>Category</t>
  </si>
  <si>
    <t>Price</t>
  </si>
  <si>
    <t>Boat Airdopes 141</t>
  </si>
  <si>
    <t>Audio</t>
  </si>
  <si>
    <t>Redmi Note 13</t>
  </si>
  <si>
    <t>Mobiles</t>
  </si>
  <si>
    <t>Puma Running Shoes</t>
  </si>
  <si>
    <t>Footwear</t>
  </si>
  <si>
    <t>Philips Air Fryer</t>
  </si>
  <si>
    <t>Appliances</t>
  </si>
  <si>
    <t>Levis Slim Jeans</t>
  </si>
  <si>
    <t>Fashion</t>
  </si>
  <si>
    <t>Noise Smartwatch</t>
  </si>
  <si>
    <t>Wearables</t>
  </si>
  <si>
    <t>Lenovo Laptop Bag</t>
  </si>
  <si>
    <t>Accessories</t>
  </si>
  <si>
    <t>Samsung Galaxy M34</t>
  </si>
  <si>
    <t>HP Wireless Mouse</t>
  </si>
  <si>
    <t>Computers</t>
  </si>
  <si>
    <t>Prestige Cooker</t>
  </si>
  <si>
    <t>Kitchen</t>
  </si>
  <si>
    <t>Product ID (lookup)</t>
  </si>
  <si>
    <t>Product Name (XLOOKUP)</t>
  </si>
  <si>
    <t>Order ID</t>
  </si>
  <si>
    <t>Restaurant Name</t>
  </si>
  <si>
    <t>Order Date</t>
  </si>
  <si>
    <t>Amount</t>
  </si>
  <si>
    <t>Z1001</t>
  </si>
  <si>
    <t>Burger King</t>
  </si>
  <si>
    <t>Z1002</t>
  </si>
  <si>
    <t>Domino's</t>
  </si>
  <si>
    <t>Z1003</t>
  </si>
  <si>
    <t>KFC</t>
  </si>
  <si>
    <t>Z1004</t>
  </si>
  <si>
    <t>Z1005</t>
  </si>
  <si>
    <t>Pizza Hut</t>
  </si>
  <si>
    <t>Z1006</t>
  </si>
  <si>
    <t>Biryani Blues</t>
  </si>
  <si>
    <t>Z1007</t>
  </si>
  <si>
    <t>Z1008</t>
  </si>
  <si>
    <t>Z1009</t>
  </si>
  <si>
    <t>Z1010</t>
  </si>
  <si>
    <t>Z1011</t>
  </si>
  <si>
    <t>Z1012</t>
  </si>
  <si>
    <t>Z1013</t>
  </si>
  <si>
    <t>Z1014</t>
  </si>
  <si>
    <t>Z1015</t>
  </si>
  <si>
    <t>Restaurant (lookup)</t>
  </si>
  <si>
    <t>Last order amount</t>
  </si>
  <si>
    <t>First order amount (for comparison)</t>
  </si>
  <si>
    <t>Playlist Name</t>
  </si>
  <si>
    <t>Genre</t>
  </si>
  <si>
    <t>Created By</t>
  </si>
  <si>
    <t>Number of Songs</t>
  </si>
  <si>
    <t>Morning Vibes</t>
  </si>
  <si>
    <t>Pop</t>
  </si>
  <si>
    <t>Aarav</t>
  </si>
  <si>
    <t>Gym Beast</t>
  </si>
  <si>
    <t>Hip-Hop</t>
  </si>
  <si>
    <t>Riya</t>
  </si>
  <si>
    <t>Bollywood Hits</t>
  </si>
  <si>
    <t>Bollywood</t>
  </si>
  <si>
    <t>Jainil</t>
  </si>
  <si>
    <t>Chill Lo-Fi</t>
  </si>
  <si>
    <t>Lo-Fi</t>
  </si>
  <si>
    <t>Meera</t>
  </si>
  <si>
    <t>Road Trip</t>
  </si>
  <si>
    <t>Rock</t>
  </si>
  <si>
    <t>Dev</t>
  </si>
  <si>
    <t>Late Night</t>
  </si>
  <si>
    <t>R&amp;B</t>
  </si>
  <si>
    <t>Kiran</t>
  </si>
  <si>
    <t>Genre to search</t>
  </si>
  <si>
    <t>Playlist (XLOOKUP with default)</t>
  </si>
  <si>
    <t>Classical</t>
  </si>
  <si>
    <t>Jazz</t>
  </si>
  <si>
    <t>Booking ID</t>
  </si>
  <si>
    <t>Passenger Name</t>
  </si>
  <si>
    <t>Train Number</t>
  </si>
  <si>
    <t>Status</t>
  </si>
  <si>
    <t>PNR8801</t>
  </si>
  <si>
    <t>Amit Shah</t>
  </si>
  <si>
    <t>Confirmed</t>
  </si>
  <si>
    <t>PNR8802</t>
  </si>
  <si>
    <t>Neha Patel</t>
  </si>
  <si>
    <t>Waiting List 5</t>
  </si>
  <si>
    <t>PNR8803</t>
  </si>
  <si>
    <t>Rohan Mehta</t>
  </si>
  <si>
    <t>PNR8804</t>
  </si>
  <si>
    <t>Sana Khan</t>
  </si>
  <si>
    <t>RAC 12</t>
  </si>
  <si>
    <t>PNR8805</t>
  </si>
  <si>
    <t>Dev Joshi</t>
  </si>
  <si>
    <t>Cancelled</t>
  </si>
  <si>
    <t>PNR8806</t>
  </si>
  <si>
    <t>Pooja Rao</t>
  </si>
  <si>
    <t>Booking ID entered</t>
  </si>
  <si>
    <t>Default XLOOKUP</t>
  </si>
  <si>
    <t>XLOOKUP with custom message</t>
  </si>
  <si>
    <t>PNR9999</t>
  </si>
  <si>
    <t>Row 2 intentionally uses a wrong ID (PNR9999) so G2 shows the default N/A error - this is the demonstration.</t>
  </si>
  <si>
    <t>Product</t>
  </si>
  <si>
    <t>Delivery Date</t>
  </si>
  <si>
    <t>MYN5001</t>
  </si>
  <si>
    <t>Nike T-Shirt</t>
  </si>
  <si>
    <t>MYN5002</t>
  </si>
  <si>
    <t>H&amp;M Jeans</t>
  </si>
  <si>
    <t>MYN5003</t>
  </si>
  <si>
    <t>Roadster Jacket</t>
  </si>
  <si>
    <t>MYN5004</t>
  </si>
  <si>
    <t>Puma Sneakers</t>
  </si>
  <si>
    <t>MYN5005</t>
  </si>
  <si>
    <t>Libas Kurta</t>
  </si>
  <si>
    <t>MYN5006</t>
  </si>
  <si>
    <t>Fossil Watch</t>
  </si>
  <si>
    <t>Order ID to find</t>
  </si>
  <si>
    <t>Delivery date</t>
  </si>
  <si>
    <t>Prompt used in ChatGPT:</t>
  </si>
  <si>
    <t>Write an XLOOKUP formula to find the delivery date for an order by Order ID in Excel.</t>
  </si>
  <si>
    <t>Formula suggested (adapted to this sheet's ranges):</t>
  </si>
  <si>
    <t>Test: entering MYN5003 returns 14-Sep-2026; changing F2 to an unknown ID returns 'Order not found'.</t>
  </si>
  <si>
    <t>Set 8 - XLOOKUP</t>
  </si>
  <si>
    <t>Requires Excel 2021 / Microsoft 365 (XLOOKUP). Sample data is synthetic. Each task has its own worksheet.</t>
  </si>
  <si>
    <t>Task</t>
  </si>
  <si>
    <t>Question (summary)</t>
  </si>
  <si>
    <t>Worksheet</t>
  </si>
  <si>
    <t>What was done / answer / explanation</t>
  </si>
  <si>
    <t>1</t>
  </si>
  <si>
    <t>XLOOKUP product name from Product ID (10 products).</t>
  </si>
  <si>
    <t>T1_XLOOKUP_Name</t>
  </si>
  <si>
    <t>G2: =XLOOKUP(F2,$A$2:$A$11,$B$2:$B$11) copied down - lookup value, lookup array, return array. Defaults to exact match.</t>
  </si>
  <si>
    <t>2</t>
  </si>
  <si>
    <t>XLOOKUP last order amount of a restaurant (search from bottom).</t>
  </si>
  <si>
    <t>T2_Last_Order</t>
  </si>
  <si>
    <t>G2: =XLOOKUP(F2,$B$2:$B$16,$D$2:$D$16,"Not found",0,-1). The 6th argument search_mode = -1 searches from the last row upwards, so the most recent order is returned (column H uses 1 = first match for comparison).</t>
  </si>
  <si>
    <t>3</t>
  </si>
  <si>
    <t>XLOOKUP playlist by genre; default 'No playlist available'.</t>
  </si>
  <si>
    <t>T3_Playlist_Default</t>
  </si>
  <si>
    <t>G2: =XLOOKUP(F2,$B$2:$B$7,$A$2:$A$7,"No playlist available") - the 4th argument (if_not_found) replaces the N/A error. Classical and Jazz are not in the table so they show the default text.</t>
  </si>
  <si>
    <t>4</t>
  </si>
  <si>
    <t>XLOOKUP status by Booking ID; wrong ID; custom message.</t>
  </si>
  <si>
    <t>T4_IRCTC_Errors</t>
  </si>
  <si>
    <t>With the wrong ID PNR9999, =XLOOKUP(F2,$A$2:$A$7,$D$2:$D$7) returns the N/A error (shown in G2 on purpose). Adding the 4th argument - =XLOOKUP(F2,$A$2:$A$7,$D$2:$D$7,"Booking Not Found") - shows 'Booking Not Found' instead (H2).</t>
  </si>
  <si>
    <t>5</t>
  </si>
  <si>
    <t>ChatGPT-generated XLOOKUP for Myntra delivery date by Order ID.</t>
  </si>
  <si>
    <t>T5_Myntra_ChatGPT</t>
  </si>
  <si>
    <t>Prompt: 'Write an XLOOKUP formula to find the delivery date for an order by Order ID in Excel.' Formula pasted and adapted: =XLOOKUP(F2,A2:A7,D2:D7,"Order not found"). Tested with MYN5003 -&gt; 14-Sep-2026; an unknown ID returns 'Order not found'.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</si>
</sst>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dd-mmm-yyyy"/>
  </numFmts>
  <fonts count="7">
    <font>
      <sz val="11"/>
      <color theme="1"/>
      <name val="Calibri"/>
      <family val="2"/>
      <scheme val="minor"/>
    </font>
    <font>
      <b/>
      <sz val="14"/>
      <color rgb="FF1F3864"/>
      <name val="Arial"/>
      <family val="2"/>
    </font>
    <font>
      <i/>
      <sz val="10"/>
      <color rgb="FF595959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rgb="FF0000FF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/>
    <xf numFmtId="164" fontId="4" fillId="0" borderId="1" xfId="0" applyNumberFormat="1" applyFont="1" applyBorder="1"/>
    <xf numFmtId="0" fontId="5" fillId="3" borderId="1" xfId="0" applyFont="1" applyFill="1" applyBorder="1"/>
    <xf numFmtId="0" fontId="6" fillId="4" borderId="1" xfId="0" applyFont="1" applyFill="1" applyBorder="1"/>
    <xf numFmtId="165" fontId="4" fillId="0" borderId="1" xfId="0" applyNumberFormat="1" applyFont="1" applyBorder="1"/>
    <xf numFmtId="164" fontId="6" fillId="4" borderId="1" xfId="0" applyNumberFormat="1" applyFont="1" applyFill="1" applyBorder="1"/>
    <xf numFmtId="0" fontId="6" fillId="0" borderId="0" xfId="0" applyFont="1"/>
    <xf numFmtId="165" fontId="6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7.7109375" customWidth="1"/>
    <col min="2" max="2" width="55.7109375" customWidth="1"/>
    <col min="3" max="3" width="22.7109375" customWidth="1"/>
    <col min="4" max="4" width="110.7109375" customWidth="1"/>
  </cols>
  <sheetData>
    <row r="1" spans="1:4">
      <c r="A1" s="1" t="s">
        <v>123</v>
      </c>
    </row>
    <row r="2" spans="1:4">
      <c r="A2" s="2" t="s">
        <v>124</v>
      </c>
    </row>
    <row r="4" spans="1:4">
      <c r="A4" s="3" t="s">
        <v>125</v>
      </c>
      <c r="B4" s="3" t="s">
        <v>126</v>
      </c>
      <c r="C4" s="3" t="s">
        <v>127</v>
      </c>
      <c r="D4" s="3" t="s">
        <v>128</v>
      </c>
    </row>
    <row r="5" spans="1:4">
      <c r="A5" s="4" t="s">
        <v>129</v>
      </c>
      <c r="B5" s="4" t="s">
        <v>130</v>
      </c>
      <c r="C5" s="4" t="s">
        <v>131</v>
      </c>
      <c r="D5" s="4" t="s">
        <v>132</v>
      </c>
    </row>
    <row r="6" spans="1:4">
      <c r="A6" s="4" t="s">
        <v>133</v>
      </c>
      <c r="B6" s="4" t="s">
        <v>134</v>
      </c>
      <c r="C6" s="4" t="s">
        <v>135</v>
      </c>
      <c r="D6" s="4" t="s">
        <v>136</v>
      </c>
    </row>
    <row r="7" spans="1:4">
      <c r="A7" s="4" t="s">
        <v>137</v>
      </c>
      <c r="B7" s="4" t="s">
        <v>138</v>
      </c>
      <c r="C7" s="4" t="s">
        <v>139</v>
      </c>
      <c r="D7" s="4" t="s">
        <v>140</v>
      </c>
    </row>
    <row r="8" spans="1:4">
      <c r="A8" s="4" t="s">
        <v>141</v>
      </c>
      <c r="B8" s="4" t="s">
        <v>142</v>
      </c>
      <c r="C8" s="4" t="s">
        <v>143</v>
      </c>
      <c r="D8" s="4" t="s">
        <v>144</v>
      </c>
    </row>
    <row r="9" spans="1:4">
      <c r="A9" s="4" t="s">
        <v>145</v>
      </c>
      <c r="B9" s="4" t="s">
        <v>146</v>
      </c>
      <c r="C9" s="4" t="s">
        <v>147</v>
      </c>
      <c r="D9" s="4" t="s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12.7109375" customWidth="1"/>
    <col min="2" max="2" width="22.7109375" customWidth="1"/>
    <col min="3" max="3" width="14.7109375" customWidth="1"/>
    <col min="4" max="4" width="10.7109375" customWidth="1"/>
    <col min="6" max="6" width="20.7109375" customWidth="1"/>
    <col min="7" max="7" width="26.7109375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F1" s="3" t="s">
        <v>23</v>
      </c>
      <c r="G1" s="3" t="s">
        <v>24</v>
      </c>
    </row>
    <row r="2" spans="1:7">
      <c r="A2" s="5">
        <v>101</v>
      </c>
      <c r="B2" s="5" t="s">
        <v>4</v>
      </c>
      <c r="C2" s="5" t="s">
        <v>5</v>
      </c>
      <c r="D2" s="6">
        <v>1299</v>
      </c>
      <c r="F2" s="7">
        <v>105</v>
      </c>
      <c r="G2" s="8" cm="1" t="str">
        <f t="array" ref="G2">_xlfn.XLOOKUP(F2,$A$2:$A$11,$B$2:$B$11)</f>
        <v>Levis Slim Jeans</v>
      </c>
    </row>
    <row r="3" spans="1:7">
      <c r="A3" s="5">
        <v>102</v>
      </c>
      <c r="B3" s="5" t="s">
        <v>6</v>
      </c>
      <c r="C3" s="5" t="s">
        <v>7</v>
      </c>
      <c r="D3" s="6">
        <v>16999</v>
      </c>
      <c r="F3" s="7">
        <v>101</v>
      </c>
      <c r="G3" s="8" cm="1" t="str">
        <f t="array" ref="G3">_xlfn.XLOOKUP(F3,$A$2:$A$11,$B$2:$B$11)</f>
        <v>Boat Airdopes 141</v>
      </c>
    </row>
    <row r="4" spans="1:7">
      <c r="A4" s="5">
        <v>103</v>
      </c>
      <c r="B4" s="5" t="s">
        <v>8</v>
      </c>
      <c r="C4" s="5" t="s">
        <v>9</v>
      </c>
      <c r="D4" s="6">
        <v>2499</v>
      </c>
      <c r="F4" s="7">
        <v>110</v>
      </c>
      <c r="G4" s="8" cm="1" t="str">
        <f t="array" ref="G4">_xlfn.XLOOKUP(F4,$A$2:$A$11,$B$2:$B$11)</f>
        <v>Prestige Cooker</v>
      </c>
    </row>
    <row r="5" spans="1:7">
      <c r="A5" s="5">
        <v>104</v>
      </c>
      <c r="B5" s="5" t="s">
        <v>10</v>
      </c>
      <c r="C5" s="5" t="s">
        <v>11</v>
      </c>
      <c r="D5" s="6">
        <v>7995</v>
      </c>
      <c r="F5" s="7">
        <v>103</v>
      </c>
      <c r="G5" s="8" cm="1" t="str">
        <f t="array" ref="G5">_xlfn.XLOOKUP(F5,$A$2:$A$11,$B$2:$B$11)</f>
        <v>Puma Running Shoes</v>
      </c>
    </row>
    <row r="6" spans="1:7">
      <c r="A6" s="5">
        <v>105</v>
      </c>
      <c r="B6" s="5" t="s">
        <v>12</v>
      </c>
      <c r="C6" s="5" t="s">
        <v>13</v>
      </c>
      <c r="D6" s="6">
        <v>1899</v>
      </c>
      <c r="F6" s="7">
        <v>107</v>
      </c>
      <c r="G6" s="8" cm="1" t="str">
        <f t="array" ref="G6">_xlfn.XLOOKUP(F6,$A$2:$A$11,$B$2:$B$11)</f>
        <v>Lenovo Laptop Bag</v>
      </c>
    </row>
    <row r="7" spans="1:7">
      <c r="A7" s="5">
        <v>106</v>
      </c>
      <c r="B7" s="5" t="s">
        <v>14</v>
      </c>
      <c r="C7" s="5" t="s">
        <v>15</v>
      </c>
      <c r="D7" s="6">
        <v>2199</v>
      </c>
    </row>
    <row r="8" spans="1:7">
      <c r="A8" s="5">
        <v>107</v>
      </c>
      <c r="B8" s="5" t="s">
        <v>16</v>
      </c>
      <c r="C8" s="5" t="s">
        <v>17</v>
      </c>
      <c r="D8" s="6">
        <v>899</v>
      </c>
    </row>
    <row r="9" spans="1:7">
      <c r="A9" s="5">
        <v>108</v>
      </c>
      <c r="B9" s="5" t="s">
        <v>18</v>
      </c>
      <c r="C9" s="5" t="s">
        <v>7</v>
      </c>
      <c r="D9" s="6">
        <v>18499</v>
      </c>
    </row>
    <row r="10" spans="1:7">
      <c r="A10" s="5">
        <v>109</v>
      </c>
      <c r="B10" s="5" t="s">
        <v>19</v>
      </c>
      <c r="C10" s="5" t="s">
        <v>20</v>
      </c>
      <c r="D10" s="6">
        <v>549</v>
      </c>
    </row>
    <row r="11" spans="1:7">
      <c r="A11" s="5">
        <v>110</v>
      </c>
      <c r="B11" s="5" t="s">
        <v>21</v>
      </c>
      <c r="C11" s="5" t="s">
        <v>22</v>
      </c>
      <c r="D11" s="6">
        <v>1650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cols>
    <col min="1" max="1" width="10.7109375" customWidth="1"/>
    <col min="2" max="2" width="18.7109375" customWidth="1"/>
    <col min="3" max="3" width="13.7109375" customWidth="1"/>
    <col min="4" max="4" width="10.7109375" customWidth="1"/>
    <col min="6" max="6" width="20.7109375" customWidth="1"/>
    <col min="7" max="8" width="22.7109375" customWidth="1"/>
  </cols>
  <sheetData>
    <row r="1" spans="1:8">
      <c r="A1" s="3" t="s">
        <v>25</v>
      </c>
      <c r="B1" s="3" t="s">
        <v>26</v>
      </c>
      <c r="C1" s="3" t="s">
        <v>27</v>
      </c>
      <c r="D1" s="3" t="s">
        <v>28</v>
      </c>
      <c r="F1" s="3" t="s">
        <v>49</v>
      </c>
      <c r="G1" s="3" t="s">
        <v>50</v>
      </c>
      <c r="H1" s="3" t="s">
        <v>51</v>
      </c>
    </row>
    <row r="2" spans="1:8">
      <c r="A2" s="5" t="s">
        <v>29</v>
      </c>
      <c r="B2" s="5" t="s">
        <v>30</v>
      </c>
      <c r="C2" s="9">
        <v>46237</v>
      </c>
      <c r="D2" s="6">
        <v>420</v>
      </c>
      <c r="F2" s="7" t="s">
        <v>30</v>
      </c>
      <c r="G2" s="10" cm="1">
        <f t="array" ref="G2">_xlfn.XLOOKUP(F2,$B$2:$B$16,$D$2:$D$16,"Not found",0,-1)</f>
        <v>470</v>
      </c>
      <c r="H2" s="10" cm="1">
        <f t="array" ref="H2">_xlfn.XLOOKUP(F2,$B$2:$B$16,$D$2:$D$16,"Not found",0,1)</f>
        <v>420</v>
      </c>
    </row>
    <row r="3" spans="1:8">
      <c r="A3" s="5" t="s">
        <v>31</v>
      </c>
      <c r="B3" s="5" t="s">
        <v>32</v>
      </c>
      <c r="C3" s="9">
        <v>46239</v>
      </c>
      <c r="D3" s="6">
        <v>650</v>
      </c>
      <c r="F3" s="7" t="s">
        <v>32</v>
      </c>
      <c r="G3" s="10" cm="1">
        <f t="array" ref="G3">_xlfn.XLOOKUP(F3,$B$2:$B$16,$D$2:$D$16,"Not found",0,-1)</f>
        <v>705</v>
      </c>
      <c r="H3" s="10" cm="1">
        <f t="array" ref="H3">_xlfn.XLOOKUP(F3,$B$2:$B$16,$D$2:$D$16,"Not found",0,1)</f>
        <v>650</v>
      </c>
    </row>
    <row r="4" spans="1:8">
      <c r="A4" s="5" t="s">
        <v>33</v>
      </c>
      <c r="B4" s="5" t="s">
        <v>34</v>
      </c>
      <c r="C4" s="9">
        <v>46241</v>
      </c>
      <c r="D4" s="6">
        <v>380</v>
      </c>
      <c r="F4" s="7" t="s">
        <v>34</v>
      </c>
      <c r="G4" s="10" cm="1">
        <f t="array" ref="G4">_xlfn.XLOOKUP(F4,$B$2:$B$16,$D$2:$D$16,"Not found",0,-1)</f>
        <v>330</v>
      </c>
      <c r="H4" s="10" cm="1">
        <f t="array" ref="H4">_xlfn.XLOOKUP(F4,$B$2:$B$16,$D$2:$D$16,"Not found",0,1)</f>
        <v>380</v>
      </c>
    </row>
    <row r="5" spans="1:8">
      <c r="A5" s="5" t="s">
        <v>35</v>
      </c>
      <c r="B5" s="5" t="s">
        <v>30</v>
      </c>
      <c r="C5" s="9">
        <v>46246</v>
      </c>
      <c r="D5" s="6">
        <v>515</v>
      </c>
    </row>
    <row r="6" spans="1:8">
      <c r="A6" s="5" t="s">
        <v>36</v>
      </c>
      <c r="B6" s="5" t="s">
        <v>37</v>
      </c>
      <c r="C6" s="9">
        <v>46249</v>
      </c>
      <c r="D6" s="6">
        <v>720</v>
      </c>
    </row>
    <row r="7" spans="1:8">
      <c r="A7" s="5" t="s">
        <v>38</v>
      </c>
      <c r="B7" s="5" t="s">
        <v>39</v>
      </c>
      <c r="C7" s="9">
        <v>46252</v>
      </c>
      <c r="D7" s="6">
        <v>560</v>
      </c>
    </row>
    <row r="8" spans="1:8">
      <c r="A8" s="5" t="s">
        <v>40</v>
      </c>
      <c r="B8" s="5" t="s">
        <v>32</v>
      </c>
      <c r="C8" s="9">
        <v>46256</v>
      </c>
      <c r="D8" s="6">
        <v>480</v>
      </c>
    </row>
    <row r="9" spans="1:8">
      <c r="A9" s="5" t="s">
        <v>41</v>
      </c>
      <c r="B9" s="5" t="s">
        <v>30</v>
      </c>
      <c r="C9" s="9">
        <v>46261</v>
      </c>
      <c r="D9" s="6">
        <v>395</v>
      </c>
    </row>
    <row r="10" spans="1:8">
      <c r="A10" s="5" t="s">
        <v>42</v>
      </c>
      <c r="B10" s="5" t="s">
        <v>34</v>
      </c>
      <c r="C10" s="9">
        <v>46267</v>
      </c>
      <c r="D10" s="6">
        <v>445</v>
      </c>
    </row>
    <row r="11" spans="1:8">
      <c r="A11" s="5" t="s">
        <v>43</v>
      </c>
      <c r="B11" s="5" t="s">
        <v>37</v>
      </c>
      <c r="C11" s="9">
        <v>46271</v>
      </c>
      <c r="D11" s="6">
        <v>810</v>
      </c>
    </row>
    <row r="12" spans="1:8">
      <c r="A12" s="5" t="s">
        <v>44</v>
      </c>
      <c r="B12" s="5" t="s">
        <v>30</v>
      </c>
      <c r="C12" s="9">
        <v>46276</v>
      </c>
      <c r="D12" s="6">
        <v>610</v>
      </c>
    </row>
    <row r="13" spans="1:8">
      <c r="A13" s="5" t="s">
        <v>45</v>
      </c>
      <c r="B13" s="5" t="s">
        <v>39</v>
      </c>
      <c r="C13" s="9">
        <v>46279</v>
      </c>
      <c r="D13" s="6">
        <v>590</v>
      </c>
    </row>
    <row r="14" spans="1:8">
      <c r="A14" s="5" t="s">
        <v>46</v>
      </c>
      <c r="B14" s="5" t="s">
        <v>32</v>
      </c>
      <c r="C14" s="9">
        <v>46284</v>
      </c>
      <c r="D14" s="6">
        <v>705</v>
      </c>
    </row>
    <row r="15" spans="1:8">
      <c r="A15" s="5" t="s">
        <v>47</v>
      </c>
      <c r="B15" s="5" t="s">
        <v>34</v>
      </c>
      <c r="C15" s="9">
        <v>46289</v>
      </c>
      <c r="D15" s="6">
        <v>330</v>
      </c>
    </row>
    <row r="16" spans="1:8">
      <c r="A16" s="5" t="s">
        <v>48</v>
      </c>
      <c r="B16" s="5" t="s">
        <v>30</v>
      </c>
      <c r="C16" s="9">
        <v>46294</v>
      </c>
      <c r="D16" s="6">
        <v>470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cols>
    <col min="1" max="4" width="16.7109375" customWidth="1"/>
    <col min="6" max="6" width="18.7109375" customWidth="1"/>
    <col min="7" max="7" width="30.7109375" customWidth="1"/>
  </cols>
  <sheetData>
    <row r="1" spans="1:7">
      <c r="A1" s="3" t="s">
        <v>52</v>
      </c>
      <c r="B1" s="3" t="s">
        <v>53</v>
      </c>
      <c r="C1" s="3" t="s">
        <v>54</v>
      </c>
      <c r="D1" s="3" t="s">
        <v>55</v>
      </c>
      <c r="F1" s="3" t="s">
        <v>74</v>
      </c>
      <c r="G1" s="3" t="s">
        <v>75</v>
      </c>
    </row>
    <row r="2" spans="1:7">
      <c r="A2" s="5" t="s">
        <v>56</v>
      </c>
      <c r="B2" s="5" t="s">
        <v>57</v>
      </c>
      <c r="C2" s="5" t="s">
        <v>58</v>
      </c>
      <c r="D2" s="6">
        <v>42</v>
      </c>
      <c r="F2" s="7" t="s">
        <v>63</v>
      </c>
      <c r="G2" s="8" cm="1" t="str">
        <f t="array" ref="G2">_xlfn.XLOOKUP(F2,$B$2:$B$7,$A$2:$A$7,"No playlist available")</f>
        <v>Bollywood Hits</v>
      </c>
    </row>
    <row r="3" spans="1:7">
      <c r="A3" s="5" t="s">
        <v>59</v>
      </c>
      <c r="B3" s="5" t="s">
        <v>60</v>
      </c>
      <c r="C3" s="5" t="s">
        <v>61</v>
      </c>
      <c r="D3" s="6">
        <v>55</v>
      </c>
      <c r="F3" s="7" t="s">
        <v>66</v>
      </c>
      <c r="G3" s="8" cm="1" t="str">
        <f t="array" ref="G3">_xlfn.XLOOKUP(F3,$B$2:$B$7,$A$2:$A$7,"No playlist available")</f>
        <v>Chill Lo-Fi</v>
      </c>
    </row>
    <row r="4" spans="1:7">
      <c r="A4" s="5" t="s">
        <v>62</v>
      </c>
      <c r="B4" s="5" t="s">
        <v>63</v>
      </c>
      <c r="C4" s="5" t="s">
        <v>64</v>
      </c>
      <c r="D4" s="6">
        <v>80</v>
      </c>
      <c r="F4" s="7" t="s">
        <v>76</v>
      </c>
      <c r="G4" s="8" cm="1" t="str">
        <f t="array" ref="G4">_xlfn.XLOOKUP(F4,$B$2:$B$7,$A$2:$A$7,"No playlist available")</f>
        <v>No playlist available</v>
      </c>
    </row>
    <row r="5" spans="1:7">
      <c r="A5" s="5" t="s">
        <v>65</v>
      </c>
      <c r="B5" s="5" t="s">
        <v>66</v>
      </c>
      <c r="C5" s="5" t="s">
        <v>67</v>
      </c>
      <c r="D5" s="6">
        <v>60</v>
      </c>
      <c r="F5" s="7" t="s">
        <v>77</v>
      </c>
      <c r="G5" s="8" cm="1" t="str">
        <f t="array" ref="G5">_xlfn.XLOOKUP(F5,$B$2:$B$7,$A$2:$A$7,"No playlist available")</f>
        <v>No playlist available</v>
      </c>
    </row>
    <row r="6" spans="1:7">
      <c r="A6" s="5" t="s">
        <v>68</v>
      </c>
      <c r="B6" s="5" t="s">
        <v>69</v>
      </c>
      <c r="C6" s="5" t="s">
        <v>70</v>
      </c>
      <c r="D6" s="6">
        <v>48</v>
      </c>
    </row>
    <row r="7" spans="1:7">
      <c r="A7" s="5" t="s">
        <v>71</v>
      </c>
      <c r="B7" s="5" t="s">
        <v>72</v>
      </c>
      <c r="C7" s="5" t="s">
        <v>73</v>
      </c>
      <c r="D7" s="6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4" width="16.7109375" customWidth="1"/>
    <col min="6" max="6" width="20.7109375" customWidth="1"/>
    <col min="7" max="8" width="28.7109375" customWidth="1"/>
  </cols>
  <sheetData>
    <row r="1" spans="1:8">
      <c r="A1" s="3" t="s">
        <v>78</v>
      </c>
      <c r="B1" s="3" t="s">
        <v>79</v>
      </c>
      <c r="C1" s="3" t="s">
        <v>80</v>
      </c>
      <c r="D1" s="3" t="s">
        <v>81</v>
      </c>
      <c r="F1" s="3" t="s">
        <v>98</v>
      </c>
      <c r="G1" s="3" t="s">
        <v>99</v>
      </c>
      <c r="H1" s="3" t="s">
        <v>100</v>
      </c>
    </row>
    <row r="2" spans="1:8">
      <c r="A2" s="5" t="s">
        <v>82</v>
      </c>
      <c r="B2" s="5" t="s">
        <v>83</v>
      </c>
      <c r="C2" s="5">
        <v>12933</v>
      </c>
      <c r="D2" s="5" t="s">
        <v>84</v>
      </c>
      <c r="F2" s="7" t="s">
        <v>101</v>
      </c>
      <c r="G2" s="8" cm="1" t="str">
        <f t="array" ref="G2">_xlfn.XLOOKUP(F2,$A$2:$A$7,$D$2:$D$7)</f>
        <v>#N/A</v>
      </c>
      <c r="H2" s="8" cm="1" t="str">
        <f t="array" ref="H2">_xlfn.XLOOKUP(F2,$A$2:$A$7,$D$2:$D$7,"Booking Not Found")</f>
        <v>Booking Not Found</v>
      </c>
    </row>
    <row r="3" spans="1:8">
      <c r="A3" s="5" t="s">
        <v>85</v>
      </c>
      <c r="B3" s="5" t="s">
        <v>86</v>
      </c>
      <c r="C3" s="5">
        <v>12009</v>
      </c>
      <c r="D3" s="5" t="s">
        <v>87</v>
      </c>
      <c r="F3" s="7" t="s">
        <v>90</v>
      </c>
      <c r="G3" s="8" cm="1" t="str">
        <f t="array" ref="G3">_xlfn.XLOOKUP(F3,$A$2:$A$7,$D$2:$D$7)</f>
        <v>RAC 12</v>
      </c>
      <c r="H3" s="8" cm="1" t="str">
        <f t="array" ref="H3">_xlfn.XLOOKUP(F3,$A$2:$A$7,$D$2:$D$7,"Booking Not Found")</f>
        <v>RAC 12</v>
      </c>
    </row>
    <row r="4" spans="1:8">
      <c r="A4" s="5" t="s">
        <v>88</v>
      </c>
      <c r="B4" s="5" t="s">
        <v>89</v>
      </c>
      <c r="C4" s="5">
        <v>22953</v>
      </c>
      <c r="D4" s="5" t="s">
        <v>84</v>
      </c>
    </row>
    <row r="5" spans="1:8">
      <c r="A5" s="5" t="s">
        <v>90</v>
      </c>
      <c r="B5" s="5" t="s">
        <v>91</v>
      </c>
      <c r="C5" s="5">
        <v>12957</v>
      </c>
      <c r="D5" s="5" t="s">
        <v>92</v>
      </c>
      <c r="F5" s="11" t="s">
        <v>102</v>
      </c>
    </row>
    <row r="6" spans="1:8">
      <c r="A6" s="5" t="s">
        <v>93</v>
      </c>
      <c r="B6" s="5" t="s">
        <v>94</v>
      </c>
      <c r="C6" s="5">
        <v>19033</v>
      </c>
      <c r="D6" s="5" t="s">
        <v>95</v>
      </c>
    </row>
    <row r="7" spans="1:8">
      <c r="A7" s="5" t="s">
        <v>96</v>
      </c>
      <c r="B7" s="5" t="s">
        <v>97</v>
      </c>
      <c r="C7" s="5">
        <v>12901</v>
      </c>
      <c r="D7" s="5" t="s">
        <v>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cols>
    <col min="1" max="1" width="12.7109375" customWidth="1"/>
    <col min="2" max="2" width="18.7109375" customWidth="1"/>
    <col min="3" max="4" width="14.7109375" customWidth="1"/>
    <col min="6" max="6" width="22.7109375" customWidth="1"/>
    <col min="7" max="7" width="16.7109375" customWidth="1"/>
  </cols>
  <sheetData>
    <row r="1" spans="1:7">
      <c r="A1" s="3" t="s">
        <v>25</v>
      </c>
      <c r="B1" s="3" t="s">
        <v>103</v>
      </c>
      <c r="C1" s="3" t="s">
        <v>27</v>
      </c>
      <c r="D1" s="3" t="s">
        <v>104</v>
      </c>
      <c r="F1" s="3" t="s">
        <v>117</v>
      </c>
      <c r="G1" s="3" t="s">
        <v>118</v>
      </c>
    </row>
    <row r="2" spans="1:7">
      <c r="A2" s="5" t="s">
        <v>105</v>
      </c>
      <c r="B2" s="5" t="s">
        <v>106</v>
      </c>
      <c r="C2" s="9">
        <v>46267</v>
      </c>
      <c r="D2" s="9">
        <v>46271</v>
      </c>
      <c r="F2" s="7" t="s">
        <v>109</v>
      </c>
      <c r="G2" s="12" cm="1">
        <f t="array" ref="G2">_xlfn.XLOOKUP(F2,$A$2:$A$7,$D$2:$D$7,"Order not found")</f>
        <v>46279</v>
      </c>
    </row>
    <row r="3" spans="1:7">
      <c r="A3" s="5" t="s">
        <v>107</v>
      </c>
      <c r="B3" s="5" t="s">
        <v>108</v>
      </c>
      <c r="C3" s="9">
        <v>46270</v>
      </c>
      <c r="D3" s="9">
        <v>46274</v>
      </c>
    </row>
    <row r="4" spans="1:7">
      <c r="A4" s="5" t="s">
        <v>109</v>
      </c>
      <c r="B4" s="5" t="s">
        <v>110</v>
      </c>
      <c r="C4" s="9">
        <v>46273</v>
      </c>
      <c r="D4" s="9">
        <v>46279</v>
      </c>
      <c r="F4" s="11" t="s">
        <v>119</v>
      </c>
    </row>
    <row r="5" spans="1:7">
      <c r="A5" s="5" t="s">
        <v>111</v>
      </c>
      <c r="B5" s="5" t="s">
        <v>112</v>
      </c>
      <c r="C5" s="9">
        <v>46277</v>
      </c>
      <c r="D5" s="9">
        <v>46280</v>
      </c>
      <c r="F5" t="s">
        <v>120</v>
      </c>
    </row>
    <row r="6" spans="1:7">
      <c r="A6" s="5" t="s">
        <v>113</v>
      </c>
      <c r="B6" s="5" t="s">
        <v>114</v>
      </c>
      <c r="C6" s="9">
        <v>46280</v>
      </c>
      <c r="D6" s="9">
        <v>46284</v>
      </c>
    </row>
    <row r="7" spans="1:7">
      <c r="A7" s="5" t="s">
        <v>115</v>
      </c>
      <c r="B7" s="5" t="s">
        <v>116</v>
      </c>
      <c r="C7" s="9">
        <v>46285</v>
      </c>
      <c r="D7" s="9">
        <v>46290</v>
      </c>
      <c r="F7" s="11" t="s">
        <v>121</v>
      </c>
    </row>
    <row r="8" spans="1:7">
      <c r="F8" cm="1">
        <f t="array" ref="F8">_xlfn.XLOOKUP(F2,A2:A7,D2:D7,"Order not found")</f>
        <v>0</v>
      </c>
    </row>
    <row r="9" spans="1:7">
      <c r="F9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Task Notes</vt:lpstr>
      <vt:lpstr>T1_XLOOKUP_Name</vt:lpstr>
      <vt:lpstr>T2_Last_Order</vt:lpstr>
      <vt:lpstr>T3_Playlist_Default</vt:lpstr>
      <vt:lpstr>T4_IRCTC_Errors</vt:lpstr>
      <vt:lpstr>T5_Myntra_ChatGPT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2026-10-02T08:47:32Z</dcterms:created>
  <dcterms:modified xsi:type="dcterms:W3CDTF">2026-10-02T08:47:32Z</dcterms:modified>
</cp:coreProperties>
</file>