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sk Notes" sheetId="1" state="visible" r:id="rId3"/>
    <sheet name="SampleSuperstore_Raw" sheetId="2" state="visible" r:id="rId4"/>
    <sheet name="T1_Cleaned" sheetId="3" state="visible" r:id="rId5"/>
    <sheet name="T2_Region" sheetId="4" state="visible" r:id="rId6"/>
    <sheet name="T3_Highlight" sheetId="5" state="visible" r:id="rId7"/>
    <sheet name="T4_Dashboard" sheetId="6" state="visible" r:id="rId8"/>
    <sheet name="T5_Top5_SubCategory" sheetId="7" state="visible" r:id="rId9"/>
    <sheet name="T2_Pivot" sheetId="8" state="visible" r:id="rId10"/>
  </sheets>
  <definedNames>
    <definedName function="false" hidden="true" localSheetId="2" name="_xlnm._FilterDatabase" vbProcedure="false">T1_Cleaned!$A$1:$N$301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Findings (sample data): top 5 sub-categories by profit are Machines (1,655), Accessories (1,143), Phones (580), Paper (373), Appliances (293). Heavily discounted lines (discount &gt; 20%) drive the losses highlighted on sheet T3_Highlight, so discount control is the main profit lever.</t>
        </r>
      </text>
    </comment>
  </commentList>
</comments>
</file>

<file path=xl/sharedStrings.xml><?xml version="1.0" encoding="utf-8"?>
<sst xmlns="http://schemas.openxmlformats.org/spreadsheetml/2006/main" count="8594" uniqueCount="427">
  <si>
    <t xml:space="preserve">Set 18 - SampleSuperstore: clean, pivot, conditional format, dashboard, top 5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</si>
  <si>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</si>
  <si>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</si>
  <si>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</si>
  <si>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</si>
  <si>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</si>
  <si>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</si>
  <si>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Clean SampleSuperstore.csv so each Order ID appears once.</t>
  </si>
  <si>
    <t xml:space="preserve">SampleSuperstore_Raw / T1_Cleaned</t>
  </si>
  <si>
    <t xml:space="preserve">The standard Kaggle SampleSuperstore.csv has no Order ID column, so this assignment file adds one (synthetic data in the same layout; file SampleSuperstore.csv). Raw: 340 rows with repeated Order IDs. Cleaned: Data &gt; Remove Duplicates on the Order ID column only (or Advanced Filter &gt; Unique records only) keeps the first line per order = 300 rows. Check cells Q1:Q3 on T1_Cleaned.</t>
  </si>
  <si>
    <t xml:space="preserve">2</t>
  </si>
  <si>
    <t xml:space="preserve">Pivot table of Sales and Profit by Region; highlight highest profit.</t>
  </si>
  <si>
    <t xml:space="preserve">T2_Region / T2_Pivot</t>
  </si>
  <si>
    <t xml:space="preserve">Real PivotTable on T2_Pivot (Region in Rows; Sum of Sales and Sum of Profit). T2_Region reproduces it with SUMIFS and highlights the highest-profit region with conditional formatting (formula =$C2=MAX($C$2:$C$5)). Highest profit in this data: Central.</t>
  </si>
  <si>
    <t xml:space="preserve">3</t>
  </si>
  <si>
    <t xml:space="preserve">Conditional formatting: Discount &gt; 20% and Profit negative.</t>
  </si>
  <si>
    <t xml:space="preserve">T3_Highlight</t>
  </si>
  <si>
    <t xml:space="preserve">Rule on A2:N301: =AND($M2&gt;0.2,$N2&lt;0) with light-red fill. 39 of 300 orders are highlighted (Q1:Q2 count them with COUNTIFS).</t>
  </si>
  <si>
    <t xml:space="preserve">4</t>
  </si>
  <si>
    <t xml:space="preserve">Dashboard: total Sales, total Profit and bar chart of Sales by Category.</t>
  </si>
  <si>
    <t xml:space="preserve">T4_Dashboard</t>
  </si>
  <si>
    <t xml:space="preserve">KPI cards use SUM formulas and the chart reads a SUMIFS category table. Snapshot: Set18_Dashboard.jpg.</t>
  </si>
  <si>
    <t xml:space="preserve">5</t>
  </si>
  <si>
    <t xml:space="preserve">Quick Analysis / Recommended Charts: top 5 profitable Sub-Categories with a comment.</t>
  </si>
  <si>
    <t xml:space="preserve">T5_Top5_SubCategory</t>
  </si>
  <si>
    <t xml:space="preserve">LARGE + INDEX/MATCH pick the 5 most profitable sub-categories (dynamic), shown in a bar chart; the findings are written in the yellow comment box (also attached as a cell comment on F1).</t>
  </si>
  <si>
    <t xml:space="preserve">Order ID</t>
  </si>
  <si>
    <t xml:space="preserve">Ship Mode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</si>
  <si>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</si>
  <si>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</si>
  <si>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</si>
  <si>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</si>
  <si>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</si>
  <si>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</si>
  <si>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</si>
  <si>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</si>
  <si>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</si>
  <si>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</si>
  <si>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</si>
  <si>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</si>
  <si>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CA-2026-100053</t>
  </si>
  <si>
    <t xml:space="preserve">Standard Class</t>
  </si>
  <si>
    <t xml:space="preserve">Corporate</t>
  </si>
  <si>
    <t xml:space="preserve">United States</t>
  </si>
  <si>
    <t xml:space="preserve">New York City</t>
  </si>
  <si>
    <t xml:space="preserve">New York</t>
  </si>
  <si>
    <t xml:space="preserve">East</t>
  </si>
  <si>
    <t xml:space="preserve">Furniture</t>
  </si>
  <si>
    <t xml:space="preserve">Chairs</t>
  </si>
  <si>
    <t xml:space="preserve">CA-2026-100141</t>
  </si>
  <si>
    <t xml:space="preserve">Home Office</t>
  </si>
  <si>
    <t xml:space="preserve">Nashville</t>
  </si>
  <si>
    <t xml:space="preserve">Tennessee</t>
  </si>
  <si>
    <t xml:space="preserve">South</t>
  </si>
  <si>
    <t xml:space="preserve">Technology</t>
  </si>
  <si>
    <t xml:space="preserve">Machines</t>
  </si>
  <si>
    <t xml:space="preserve">CA-2026-100209</t>
  </si>
  <si>
    <t xml:space="preserve">Same Day</t>
  </si>
  <si>
    <t xml:space="preserve">Atlanta</t>
  </si>
  <si>
    <t xml:space="preserve">Georgia</t>
  </si>
  <si>
    <t xml:space="preserve">Furnishings</t>
  </si>
  <si>
    <t xml:space="preserve">CA-2026-100213</t>
  </si>
  <si>
    <t xml:space="preserve">Houston</t>
  </si>
  <si>
    <t xml:space="preserve">Texas</t>
  </si>
  <si>
    <t xml:space="preserve">Central</t>
  </si>
  <si>
    <t xml:space="preserve">Office Supplies</t>
  </si>
  <si>
    <t xml:space="preserve">Art</t>
  </si>
  <si>
    <t xml:space="preserve">CA-2026-100295</t>
  </si>
  <si>
    <t xml:space="preserve">Second Class</t>
  </si>
  <si>
    <t xml:space="preserve">Consumer</t>
  </si>
  <si>
    <t xml:space="preserve">Denver</t>
  </si>
  <si>
    <t xml:space="preserve">Colorado</t>
  </si>
  <si>
    <t xml:space="preserve">West</t>
  </si>
  <si>
    <t xml:space="preserve">Phones</t>
  </si>
  <si>
    <t xml:space="preserve">CA-2026-100061</t>
  </si>
  <si>
    <t xml:space="preserve">Chicago</t>
  </si>
  <si>
    <t xml:space="preserve">Illinois</t>
  </si>
  <si>
    <t xml:space="preserve">Accessories</t>
  </si>
  <si>
    <t xml:space="preserve">CA-2026-100194</t>
  </si>
  <si>
    <t xml:space="preserve">Boston</t>
  </si>
  <si>
    <t xml:space="preserve">Massachusetts</t>
  </si>
  <si>
    <t xml:space="preserve">Envelopes</t>
  </si>
  <si>
    <t xml:space="preserve">CA-2026-100216</t>
  </si>
  <si>
    <t xml:space="preserve">First Class</t>
  </si>
  <si>
    <t xml:space="preserve">Tables</t>
  </si>
  <si>
    <t xml:space="preserve">CA-2026-100128</t>
  </si>
  <si>
    <t xml:space="preserve">Bookcases</t>
  </si>
  <si>
    <t xml:space="preserve">CA-2026-100142</t>
  </si>
  <si>
    <t xml:space="preserve">Storage</t>
  </si>
  <si>
    <t xml:space="preserve">CA-2026-100118</t>
  </si>
  <si>
    <t xml:space="preserve">CA-2026-100064</t>
  </si>
  <si>
    <t xml:space="preserve">Miami</t>
  </si>
  <si>
    <t xml:space="preserve">Florida</t>
  </si>
  <si>
    <t xml:space="preserve">Copiers</t>
  </si>
  <si>
    <t xml:space="preserve">CA-2026-100259</t>
  </si>
  <si>
    <t xml:space="preserve">Portland</t>
  </si>
  <si>
    <t xml:space="preserve">Oregon</t>
  </si>
  <si>
    <t xml:space="preserve">CA-2026-100001</t>
  </si>
  <si>
    <t xml:space="preserve">CA-2026-100274</t>
  </si>
  <si>
    <t xml:space="preserve">CA-2026-100043</t>
  </si>
  <si>
    <t xml:space="preserve">Philadelphia</t>
  </si>
  <si>
    <t xml:space="preserve">Pennsylvania</t>
  </si>
  <si>
    <t xml:space="preserve">CA-2026-100285</t>
  </si>
  <si>
    <t xml:space="preserve">CA-2026-100221</t>
  </si>
  <si>
    <t xml:space="preserve">Charlotte</t>
  </si>
  <si>
    <t xml:space="preserve">North Carolina</t>
  </si>
  <si>
    <t xml:space="preserve">CA-2026-100076</t>
  </si>
  <si>
    <t xml:space="preserve">Newark</t>
  </si>
  <si>
    <t xml:space="preserve">New Jersey</t>
  </si>
  <si>
    <t xml:space="preserve">Appliances</t>
  </si>
  <si>
    <t xml:space="preserve">CA-2026-100197</t>
  </si>
  <si>
    <t xml:space="preserve">CA-2026-100136</t>
  </si>
  <si>
    <t xml:space="preserve">Dallas</t>
  </si>
  <si>
    <t xml:space="preserve">CA-2026-100234</t>
  </si>
  <si>
    <t xml:space="preserve">Los Angeles</t>
  </si>
  <si>
    <t xml:space="preserve">California</t>
  </si>
  <si>
    <t xml:space="preserve">CA-2026-100220</t>
  </si>
  <si>
    <t xml:space="preserve">CA-2026-100104</t>
  </si>
  <si>
    <t xml:space="preserve">Seattle</t>
  </si>
  <si>
    <t xml:space="preserve">Washington</t>
  </si>
  <si>
    <t xml:space="preserve">Supplies</t>
  </si>
  <si>
    <t xml:space="preserve">CA-2026-100072</t>
  </si>
  <si>
    <t xml:space="preserve">Labels</t>
  </si>
  <si>
    <t xml:space="preserve">CA-2026-100148</t>
  </si>
  <si>
    <t xml:space="preserve">Fasteners</t>
  </si>
  <si>
    <t xml:space="preserve">CA-2026-100247</t>
  </si>
  <si>
    <t xml:space="preserve">CA-2026-100069</t>
  </si>
  <si>
    <t xml:space="preserve">CA-2026-100113</t>
  </si>
  <si>
    <t xml:space="preserve">CA-2026-100181</t>
  </si>
  <si>
    <t xml:space="preserve">CA-2026-100297</t>
  </si>
  <si>
    <t xml:space="preserve">CA-2026-100207</t>
  </si>
  <si>
    <t xml:space="preserve">CA-2026-100093</t>
  </si>
  <si>
    <t xml:space="preserve">CA-2026-100058</t>
  </si>
  <si>
    <t xml:space="preserve">Paper</t>
  </si>
  <si>
    <t xml:space="preserve">CA-2026-100039</t>
  </si>
  <si>
    <t xml:space="preserve">CA-2026-100067</t>
  </si>
  <si>
    <t xml:space="preserve">CA-2026-100127</t>
  </si>
  <si>
    <t xml:space="preserve">CA-2026-100042</t>
  </si>
  <si>
    <t xml:space="preserve">Binders</t>
  </si>
  <si>
    <t xml:space="preserve">CA-2026-100032</t>
  </si>
  <si>
    <t xml:space="preserve">CA-2026-100280</t>
  </si>
  <si>
    <t xml:space="preserve">CA-2026-100219</t>
  </si>
  <si>
    <t xml:space="preserve">CA-2026-100059</t>
  </si>
  <si>
    <t xml:space="preserve">CA-2026-100026</t>
  </si>
  <si>
    <t xml:space="preserve">CA-2026-100056</t>
  </si>
  <si>
    <t xml:space="preserve">CA-2026-100187</t>
  </si>
  <si>
    <t xml:space="preserve">CA-2026-100151</t>
  </si>
  <si>
    <t xml:space="preserve">CA-2026-100021</t>
  </si>
  <si>
    <t xml:space="preserve">CA-2026-100278</t>
  </si>
  <si>
    <t xml:space="preserve">CA-2026-100182</t>
  </si>
  <si>
    <t xml:space="preserve">CA-2026-100170</t>
  </si>
  <si>
    <t xml:space="preserve">CA-2026-100052</t>
  </si>
  <si>
    <t xml:space="preserve">CA-2026-100275</t>
  </si>
  <si>
    <t xml:space="preserve">CA-2026-100106</t>
  </si>
  <si>
    <t xml:space="preserve">CA-2026-100186</t>
  </si>
  <si>
    <t xml:space="preserve">CA-2026-100293</t>
  </si>
  <si>
    <t xml:space="preserve">CA-2026-100165</t>
  </si>
  <si>
    <t xml:space="preserve">CA-2026-100276</t>
  </si>
  <si>
    <t xml:space="preserve">CA-2026-100235</t>
  </si>
  <si>
    <t xml:space="preserve">CA-2026-100077</t>
  </si>
  <si>
    <t xml:space="preserve">CA-2026-100101</t>
  </si>
  <si>
    <t xml:space="preserve">CA-2026-100162</t>
  </si>
  <si>
    <t xml:space="preserve">CA-2026-100028</t>
  </si>
  <si>
    <t xml:space="preserve">CA-2026-100245</t>
  </si>
  <si>
    <t xml:space="preserve">CA-2026-100146</t>
  </si>
  <si>
    <t xml:space="preserve">CA-2026-100131</t>
  </si>
  <si>
    <t xml:space="preserve">CA-2026-100003</t>
  </si>
  <si>
    <t xml:space="preserve">CA-2026-100269</t>
  </si>
  <si>
    <t xml:space="preserve">CA-2026-100230</t>
  </si>
  <si>
    <t xml:space="preserve">CA-2026-100244</t>
  </si>
  <si>
    <t xml:space="preserve">CA-2026-100147</t>
  </si>
  <si>
    <t xml:space="preserve">CA-2026-100232</t>
  </si>
  <si>
    <t xml:space="preserve">CA-2026-100065</t>
  </si>
  <si>
    <t xml:space="preserve">CA-2026-100206</t>
  </si>
  <si>
    <t xml:space="preserve">CA-2026-100092</t>
  </si>
  <si>
    <t xml:space="preserve">CA-2026-100080</t>
  </si>
  <si>
    <t xml:space="preserve">Minneapolis</t>
  </si>
  <si>
    <t xml:space="preserve">Minnesota</t>
  </si>
  <si>
    <t xml:space="preserve">CA-2026-100123</t>
  </si>
  <si>
    <t xml:space="preserve">CA-2026-100289</t>
  </si>
  <si>
    <t xml:space="preserve">CA-2026-100218</t>
  </si>
  <si>
    <t xml:space="preserve">CA-2026-100231</t>
  </si>
  <si>
    <t xml:space="preserve">CA-2026-100264</t>
  </si>
  <si>
    <t xml:space="preserve">CA-2026-100298</t>
  </si>
  <si>
    <t xml:space="preserve">CA-2026-100115</t>
  </si>
  <si>
    <t xml:space="preserve">CA-2026-100044</t>
  </si>
  <si>
    <t xml:space="preserve">CA-2026-100006</t>
  </si>
  <si>
    <t xml:space="preserve">CA-2026-100238</t>
  </si>
  <si>
    <t xml:space="preserve">CA-2026-100068</t>
  </si>
  <si>
    <t xml:space="preserve">CA-2026-100143</t>
  </si>
  <si>
    <t xml:space="preserve">CA-2026-100129</t>
  </si>
  <si>
    <t xml:space="preserve">CA-2026-100189</t>
  </si>
  <si>
    <t xml:space="preserve">CA-2026-100037</t>
  </si>
  <si>
    <t xml:space="preserve">CA-2026-100210</t>
  </si>
  <si>
    <t xml:space="preserve">CA-2026-100265</t>
  </si>
  <si>
    <t xml:space="preserve">CA-2026-100081</t>
  </si>
  <si>
    <t xml:space="preserve">CA-2026-100268</t>
  </si>
  <si>
    <t xml:space="preserve">CA-2026-100249</t>
  </si>
  <si>
    <t xml:space="preserve">CA-2026-100050</t>
  </si>
  <si>
    <t xml:space="preserve">CA-2026-100229</t>
  </si>
  <si>
    <t xml:space="preserve">CA-2026-100111</t>
  </si>
  <si>
    <t xml:space="preserve">CA-2026-100169</t>
  </si>
  <si>
    <t xml:space="preserve">CA-2026-100018</t>
  </si>
  <si>
    <t xml:space="preserve">CA-2026-100255</t>
  </si>
  <si>
    <t xml:space="preserve">CA-2026-100176</t>
  </si>
  <si>
    <t xml:space="preserve">CA-2026-100066</t>
  </si>
  <si>
    <t xml:space="preserve">CA-2026-100166</t>
  </si>
  <si>
    <t xml:space="preserve">CA-2026-100095</t>
  </si>
  <si>
    <t xml:space="preserve">CA-2026-100258</t>
  </si>
  <si>
    <t xml:space="preserve">CA-2026-100252</t>
  </si>
  <si>
    <t xml:space="preserve">CA-2026-100054</t>
  </si>
  <si>
    <t xml:space="preserve">CA-2026-100242</t>
  </si>
  <si>
    <t xml:space="preserve">CA-2026-100211</t>
  </si>
  <si>
    <t xml:space="preserve">CA-2026-100016</t>
  </si>
  <si>
    <t xml:space="preserve">CA-2026-100116</t>
  </si>
  <si>
    <t xml:space="preserve">CA-2026-100005</t>
  </si>
  <si>
    <t xml:space="preserve">CA-2026-100193</t>
  </si>
  <si>
    <t xml:space="preserve">CA-2026-100290</t>
  </si>
  <si>
    <t xml:space="preserve">CA-2026-100109</t>
  </si>
  <si>
    <t xml:space="preserve">CA-2026-100082</t>
  </si>
  <si>
    <t xml:space="preserve">CA-2026-100130</t>
  </si>
  <si>
    <t xml:space="preserve">CA-2026-100103</t>
  </si>
  <si>
    <t xml:space="preserve">CA-2026-100071</t>
  </si>
  <si>
    <t xml:space="preserve">CA-2026-100277</t>
  </si>
  <si>
    <t xml:space="preserve">CA-2026-100172</t>
  </si>
  <si>
    <t xml:space="preserve">CA-2026-100119</t>
  </si>
  <si>
    <t xml:space="preserve">CA-2026-100007</t>
  </si>
  <si>
    <t xml:space="preserve">CA-2026-100179</t>
  </si>
  <si>
    <t xml:space="preserve">CA-2026-100014</t>
  </si>
  <si>
    <t xml:space="preserve">CA-2026-100202</t>
  </si>
  <si>
    <t xml:space="preserve">CA-2026-100191</t>
  </si>
  <si>
    <t xml:space="preserve">CA-2026-100048</t>
  </si>
  <si>
    <t xml:space="preserve">CA-2026-100022</t>
  </si>
  <si>
    <t xml:space="preserve">CA-2026-100296</t>
  </si>
  <si>
    <t xml:space="preserve">CA-2026-100160</t>
  </si>
  <si>
    <t xml:space="preserve">CA-2026-100013</t>
  </si>
  <si>
    <t xml:space="preserve">CA-2026-100088</t>
  </si>
  <si>
    <t xml:space="preserve">CA-2026-100105</t>
  </si>
  <si>
    <t xml:space="preserve">CA-2026-100033</t>
  </si>
  <si>
    <t xml:space="preserve">CA-2026-100222</t>
  </si>
  <si>
    <t xml:space="preserve">CA-2026-100215</t>
  </si>
  <si>
    <t xml:space="preserve">CA-2026-100085</t>
  </si>
  <si>
    <t xml:space="preserve">CA-2026-100226</t>
  </si>
  <si>
    <t xml:space="preserve">CA-2026-100035</t>
  </si>
  <si>
    <t xml:space="preserve">CA-2026-100177</t>
  </si>
  <si>
    <t xml:space="preserve">CA-2026-100012</t>
  </si>
  <si>
    <t xml:space="preserve">CA-2026-100051</t>
  </si>
  <si>
    <t xml:space="preserve">CA-2026-100237</t>
  </si>
  <si>
    <t xml:space="preserve">CA-2026-100208</t>
  </si>
  <si>
    <t xml:space="preserve">CA-2026-100294</t>
  </si>
  <si>
    <t xml:space="preserve">CA-2026-100040</t>
  </si>
  <si>
    <t xml:space="preserve">CA-2026-100282</t>
  </si>
  <si>
    <t xml:space="preserve">CA-2026-100261</t>
  </si>
  <si>
    <t xml:space="preserve">CA-2026-100015</t>
  </si>
  <si>
    <t xml:space="preserve">CA-2026-100010</t>
  </si>
  <si>
    <t xml:space="preserve">CA-2026-100273</t>
  </si>
  <si>
    <t xml:space="preserve">CA-2026-100168</t>
  </si>
  <si>
    <t xml:space="preserve">CA-2026-100192</t>
  </si>
  <si>
    <t xml:space="preserve">CA-2026-100034</t>
  </si>
  <si>
    <t xml:space="preserve">CA-2026-100241</t>
  </si>
  <si>
    <t xml:space="preserve">CA-2026-100060</t>
  </si>
  <si>
    <t xml:space="preserve">CA-2026-100025</t>
  </si>
  <si>
    <t xml:space="preserve">CA-2026-100190</t>
  </si>
  <si>
    <t xml:space="preserve">CA-2026-100174</t>
  </si>
  <si>
    <t xml:space="preserve">CA-2026-100020</t>
  </si>
  <si>
    <t xml:space="preserve">CA-2026-100070</t>
  </si>
  <si>
    <t xml:space="preserve">CA-2026-100164</t>
  </si>
  <si>
    <t xml:space="preserve">CA-2026-100108</t>
  </si>
  <si>
    <t xml:space="preserve">CA-2026-100057</t>
  </si>
  <si>
    <t xml:space="preserve">CA-2026-100178</t>
  </si>
  <si>
    <t xml:space="preserve">CA-2026-100047</t>
  </si>
  <si>
    <t xml:space="preserve">CA-2026-100138</t>
  </si>
  <si>
    <t xml:space="preserve">CA-2026-100243</t>
  </si>
  <si>
    <t xml:space="preserve">CA-2026-100184</t>
  </si>
  <si>
    <t xml:space="preserve">CA-2026-100248</t>
  </si>
  <si>
    <t xml:space="preserve">CA-2026-100214</t>
  </si>
  <si>
    <t xml:space="preserve">CA-2026-100008</t>
  </si>
  <si>
    <t xml:space="preserve">CA-2026-100239</t>
  </si>
  <si>
    <t xml:space="preserve">CA-2026-100284</t>
  </si>
  <si>
    <t xml:space="preserve">CA-2026-100286</t>
  </si>
  <si>
    <t xml:space="preserve">CA-2026-100144</t>
  </si>
  <si>
    <t xml:space="preserve">CA-2026-100097</t>
  </si>
  <si>
    <t xml:space="preserve">CA-2026-100167</t>
  </si>
  <si>
    <t xml:space="preserve">CA-2026-100171</t>
  </si>
  <si>
    <t xml:space="preserve">CA-2026-100150</t>
  </si>
  <si>
    <t xml:space="preserve">CA-2026-100031</t>
  </si>
  <si>
    <t xml:space="preserve">CA-2026-100124</t>
  </si>
  <si>
    <t xml:space="preserve">CA-2026-100159</t>
  </si>
  <si>
    <t xml:space="preserve">CA-2026-100228</t>
  </si>
  <si>
    <t xml:space="preserve">CA-2026-100254</t>
  </si>
  <si>
    <t xml:space="preserve">CA-2026-100262</t>
  </si>
  <si>
    <t xml:space="preserve">CA-2026-100100</t>
  </si>
  <si>
    <t xml:space="preserve">CA-2026-100291</t>
  </si>
  <si>
    <t xml:space="preserve">CA-2026-100083</t>
  </si>
  <si>
    <t xml:space="preserve">CA-2026-100125</t>
  </si>
  <si>
    <t xml:space="preserve">CA-2026-100121</t>
  </si>
  <si>
    <t xml:space="preserve">CA-2026-100161</t>
  </si>
  <si>
    <t xml:space="preserve">CA-2026-100240</t>
  </si>
  <si>
    <t xml:space="preserve">CA-2026-100283</t>
  </si>
  <si>
    <t xml:space="preserve">CA-2026-100180</t>
  </si>
  <si>
    <t xml:space="preserve">CA-2026-100126</t>
  </si>
  <si>
    <t xml:space="preserve">CA-2026-100250</t>
  </si>
  <si>
    <t xml:space="preserve">CA-2026-100163</t>
  </si>
  <si>
    <t xml:space="preserve">CA-2026-100046</t>
  </si>
  <si>
    <t xml:space="preserve">CA-2026-100029</t>
  </si>
  <si>
    <t xml:space="preserve">CA-2026-100287</t>
  </si>
  <si>
    <t xml:space="preserve">CA-2026-100149</t>
  </si>
  <si>
    <t xml:space="preserve">CA-2026-100024</t>
  </si>
  <si>
    <t xml:space="preserve">CA-2026-100063</t>
  </si>
  <si>
    <t xml:space="preserve">CA-2026-100079</t>
  </si>
  <si>
    <t xml:space="preserve">CA-2026-100156</t>
  </si>
  <si>
    <t xml:space="preserve">CA-2026-100260</t>
  </si>
  <si>
    <t xml:space="preserve">CA-2026-100099</t>
  </si>
  <si>
    <t xml:space="preserve">CA-2026-100266</t>
  </si>
  <si>
    <t xml:space="preserve">CA-2026-100212</t>
  </si>
  <si>
    <t xml:space="preserve">CA-2026-100256</t>
  </si>
  <si>
    <t xml:space="preserve">CA-2026-100090</t>
  </si>
  <si>
    <t xml:space="preserve">CA-2026-100019</t>
  </si>
  <si>
    <t xml:space="preserve">CA-2026-100158</t>
  </si>
  <si>
    <t xml:space="preserve">CA-2026-100152</t>
  </si>
  <si>
    <t xml:space="preserve">CA-2026-100188</t>
  </si>
  <si>
    <t xml:space="preserve">CA-2026-100087</t>
  </si>
  <si>
    <t xml:space="preserve">CA-2026-100251</t>
  </si>
  <si>
    <t xml:space="preserve">CA-2026-100038</t>
  </si>
  <si>
    <t xml:space="preserve">CA-2026-100017</t>
  </si>
  <si>
    <t xml:space="preserve">CA-2026-100236</t>
  </si>
  <si>
    <t xml:space="preserve">CA-2026-100098</t>
  </si>
  <si>
    <t xml:space="preserve">CA-2026-100267</t>
  </si>
  <si>
    <t xml:space="preserve">CA-2026-100271</t>
  </si>
  <si>
    <t xml:space="preserve">CA-2026-100036</t>
  </si>
  <si>
    <t xml:space="preserve">CA-2026-100288</t>
  </si>
  <si>
    <t xml:space="preserve">CA-2026-100102</t>
  </si>
  <si>
    <t xml:space="preserve">CA-2026-100145</t>
  </si>
  <si>
    <t xml:space="preserve">CA-2026-100132</t>
  </si>
  <si>
    <t xml:space="preserve">CA-2026-100091</t>
  </si>
  <si>
    <t xml:space="preserve">CA-2026-100055</t>
  </si>
  <si>
    <t xml:space="preserve">CA-2026-100281</t>
  </si>
  <si>
    <t xml:space="preserve">CA-2026-100195</t>
  </si>
  <si>
    <t xml:space="preserve">CA-2026-100154</t>
  </si>
  <si>
    <t xml:space="preserve">CA-2026-100041</t>
  </si>
  <si>
    <t xml:space="preserve">CA-2026-100225</t>
  </si>
  <si>
    <t xml:space="preserve">CA-2026-100183</t>
  </si>
  <si>
    <t xml:space="preserve">CA-2026-100078</t>
  </si>
  <si>
    <t xml:space="preserve">CA-2026-100157</t>
  </si>
  <si>
    <t xml:space="preserve">CA-2026-100203</t>
  </si>
  <si>
    <t xml:space="preserve">CA-2026-100027</t>
  </si>
  <si>
    <t xml:space="preserve">CA-2026-100074</t>
  </si>
  <si>
    <t xml:space="preserve">CA-2026-100120</t>
  </si>
  <si>
    <t xml:space="preserve">CA-2026-100205</t>
  </si>
  <si>
    <t xml:space="preserve">CA-2026-100049</t>
  </si>
  <si>
    <t xml:space="preserve">CA-2026-100272</t>
  </si>
  <si>
    <t xml:space="preserve">CA-2026-100196</t>
  </si>
  <si>
    <t xml:space="preserve">CA-2026-100002</t>
  </si>
  <si>
    <t xml:space="preserve">CA-2026-100137</t>
  </si>
  <si>
    <t xml:space="preserve">CA-2026-100279</t>
  </si>
  <si>
    <t xml:space="preserve">CA-2026-100075</t>
  </si>
  <si>
    <t xml:space="preserve">CA-2026-100089</t>
  </si>
  <si>
    <t xml:space="preserve">CA-2026-100110</t>
  </si>
  <si>
    <t xml:space="preserve">CA-2026-100133</t>
  </si>
  <si>
    <t xml:space="preserve">CA-2026-100023</t>
  </si>
  <si>
    <t xml:space="preserve">CA-2026-100300</t>
  </si>
  <si>
    <t xml:space="preserve">CA-2026-100112</t>
  </si>
  <si>
    <t xml:space="preserve">CA-2026-100198</t>
  </si>
  <si>
    <t xml:space="preserve">CA-2026-100185</t>
  </si>
  <si>
    <t xml:space="preserve">CA-2026-100199</t>
  </si>
  <si>
    <t xml:space="preserve">CA-2026-100200</t>
  </si>
  <si>
    <t xml:space="preserve">CA-2026-100117</t>
  </si>
  <si>
    <t xml:space="preserve">CA-2026-100253</t>
  </si>
  <si>
    <t xml:space="preserve">CA-2026-100073</t>
  </si>
  <si>
    <t xml:space="preserve">CA-2026-100224</t>
  </si>
  <si>
    <t xml:space="preserve">CA-2026-100263</t>
  </si>
  <si>
    <t xml:space="preserve">CA-2026-100173</t>
  </si>
  <si>
    <t xml:space="preserve">CA-2026-100201</t>
  </si>
  <si>
    <t xml:space="preserve">CA-2026-100217</t>
  </si>
  <si>
    <t xml:space="preserve">CA-2026-100135</t>
  </si>
  <si>
    <t xml:space="preserve">CA-2026-100011</t>
  </si>
  <si>
    <t xml:space="preserve">CA-2026-100094</t>
  </si>
  <si>
    <t xml:space="preserve">CA-2026-100299</t>
  </si>
  <si>
    <t xml:space="preserve">CA-2026-100084</t>
  </si>
  <si>
    <t xml:space="preserve">CA-2026-100246</t>
  </si>
  <si>
    <t xml:space="preserve">CA-2026-100096</t>
  </si>
  <si>
    <t xml:space="preserve">CA-2026-100140</t>
  </si>
  <si>
    <t xml:space="preserve">CA-2026-100004</t>
  </si>
  <si>
    <t xml:space="preserve">CA-2026-100107</t>
  </si>
  <si>
    <t xml:space="preserve">CA-2026-100227</t>
  </si>
  <si>
    <t xml:space="preserve">CA-2026-100086</t>
  </si>
  <si>
    <t xml:space="preserve">CA-2026-100257</t>
  </si>
  <si>
    <t xml:space="preserve">CA-2026-100030</t>
  </si>
  <si>
    <t xml:space="preserve">CA-2026-100204</t>
  </si>
  <si>
    <t xml:space="preserve">CA-2026-100155</t>
  </si>
  <si>
    <t xml:space="preserve">CA-2026-100045</t>
  </si>
  <si>
    <t xml:space="preserve">CA-2026-100122</t>
  </si>
  <si>
    <t xml:space="preserve">CA-2026-100270</t>
  </si>
  <si>
    <t xml:space="preserve">CA-2026-100134</t>
  </si>
  <si>
    <t xml:space="preserve">CA-2026-100114</t>
  </si>
  <si>
    <t xml:space="preserve">CA-2026-100292</t>
  </si>
  <si>
    <t xml:space="preserve">CA-2026-100233</t>
  </si>
  <si>
    <t xml:space="preserve">CA-2026-100062</t>
  </si>
  <si>
    <t xml:space="preserve">CA-2026-100009</t>
  </si>
  <si>
    <t xml:space="preserve">CA-2026-100153</t>
  </si>
  <si>
    <t xml:space="preserve">CA-2026-100139</t>
  </si>
  <si>
    <t xml:space="preserve">CA-2026-100175</t>
  </si>
  <si>
    <t xml:space="preserve">CA-2026-100223</t>
  </si>
  <si>
    <t xml:space="preserve">Rows before</t>
  </si>
  <si>
    <t xml:space="preserve">Rows after</t>
  </si>
  <si>
    <t xml:space="preserve">Duplicate Order IDs left</t>
  </si>
  <si>
    <t xml:space="preserve">Total Sales</t>
  </si>
  <si>
    <t xml:space="preserve">Total Profit</t>
  </si>
  <si>
    <t xml:space="preserve">Profit Margin</t>
  </si>
  <si>
    <t xml:space="preserve">Total</t>
  </si>
  <si>
    <t xml:space="preserve">Rows with Discount &gt; 20% AND Profit &lt; 0</t>
  </si>
  <si>
    <t xml:space="preserve">Share of all orders</t>
  </si>
  <si>
    <t xml:space="preserve">SUPERSTORE SALES DASHBOARD</t>
  </si>
  <si>
    <t xml:space="preserve">TOTAL SALES</t>
  </si>
  <si>
    <t xml:space="preserve">TOTAL PROFIT</t>
  </si>
  <si>
    <t xml:space="preserve">ORDERS</t>
  </si>
  <si>
    <t xml:space="preserve">Sales by Category (feeds chart)</t>
  </si>
  <si>
    <t xml:space="preserve">Order lines</t>
  </si>
  <si>
    <t xml:space="preserve">Rank</t>
  </si>
  <si>
    <t xml:space="preserve">Findings</t>
  </si>
  <si>
    <t xml:space="preserve">Findings (sample data): top 5 sub-categories by profit are Machines (1,655), Accessories (1,143), Phones (580), Paper (373), Appliances (293). Heavily discounted lines (discount &gt; 20%) drive the losses highlighted on sheet T3_Highlight, so discount control is the main profit lever.</t>
  </si>
  <si>
    <t xml:space="preserve">Filter</t>
  </si>
  <si>
    <t xml:space="preserve">Data</t>
  </si>
  <si>
    <t xml:space="preserve">Sum - Sales</t>
  </si>
  <si>
    <t xml:space="preserve">Sum - Profit</t>
  </si>
  <si>
    <t xml:space="preserve">Total Sum - Sales</t>
  </si>
  <si>
    <t xml:space="preserve">Total Sum - Profit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</si>
</sst>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#,##0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93300"/>
      </patternFill>
    </fill>
    <fill>
      <patternFill patternType="solid">
        <fgColor rgb="FFFFF2CC"/>
        <bgColor rgb="FFFF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T4_Dashboard!C25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T4_Dashboard!$B$26:$B$28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T4_Dashboard!$C$26:$C$28</c:f>
              <c:numCache>
                <c:formatCode>#,##0</c:formatCode>
                <c:ptCount val="3"/>
                <c:pt idx="0">
                  <c:v>17864.39</c:v>
                </c:pt>
                <c:pt idx="1">
                  <c:v>8329.17</c:v>
                </c:pt>
                <c:pt idx="2">
                  <c:v>27018.78</c:v>
                </c:pt>
              </c:numCache>
            </c:numRef>
          </c:val>
        </c:ser>
        <c:gapWidth val="150"/>
        <c:overlap val="0"/>
        <c:axId val="54521391"/>
        <c:axId val="35036538"/>
      </c:barChart>
      <c:catAx>
        <c:axId val="545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36538"/>
        <c:crosses val="autoZero"/>
        <c:auto val="1"/>
        <c:lblAlgn val="ctr"/>
        <c:lblOffset val="100"/>
        <c:noMultiLvlLbl val="0"/>
      </c:catAx>
      <c:valAx>
        <c:axId val="35036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21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most profitable Sub-Categories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T5_Top5_SubCategory!F1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T5_Top5_SubCategory!$E$2:$E$6</c:f>
              <c:strCache>
                <c:ptCount val="5"/>
                <c:pt idx="0">
                  <c:v>Machines</c:v>
                </c:pt>
                <c:pt idx="1">
                  <c:v>Accessories</c:v>
                </c:pt>
                <c:pt idx="2">
                  <c:v>Phones</c:v>
                </c:pt>
                <c:pt idx="3">
                  <c:v>Paper</c:v>
                </c:pt>
                <c:pt idx="4">
                  <c:v>Appliances</c:v>
                </c:pt>
              </c:strCache>
            </c:strRef>
          </c:cat>
          <c:val>
            <c:numRef>
              <c:f>T5_Top5_SubCategory!$F$2:$F$6</c:f>
              <c:numCache>
                <c:formatCode>#,##0</c:formatCode>
                <c:ptCount val="5"/>
                <c:pt idx="0">
                  <c:v>1654.95</c:v>
                </c:pt>
                <c:pt idx="1">
                  <c:v>1143.28</c:v>
                </c:pt>
                <c:pt idx="2">
                  <c:v>580.33</c:v>
                </c:pt>
                <c:pt idx="3">
                  <c:v>372.82</c:v>
                </c:pt>
                <c:pt idx="4">
                  <c:v>293.4</c:v>
                </c:pt>
              </c:numCache>
            </c:numRef>
          </c:val>
        </c:ser>
        <c:gapWidth val="150"/>
        <c:overlap val="0"/>
        <c:axId val="14005972"/>
        <c:axId val="31660924"/>
      </c:barChart>
      <c:catAx>
        <c:axId val="140059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60924"/>
        <c:crosses val="autoZero"/>
        <c:auto val="1"/>
        <c:lblAlgn val="ctr"/>
        <c:lblOffset val="100"/>
        <c:noMultiLvlLbl val="0"/>
      </c:catAx>
      <c:valAx>
        <c:axId val="31660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059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0</xdr:rowOff>
    </xdr:from>
    <xdr:to>
      <xdr:col>8</xdr:col>
      <xdr:colOff>65520</xdr:colOff>
      <xdr:row>23</xdr:row>
      <xdr:rowOff>1080</xdr:rowOff>
    </xdr:to>
    <xdr:graphicFrame>
      <xdr:nvGraphicFramePr>
        <xdr:cNvPr id="0" name="Chart 1"/>
        <xdr:cNvGraphicFramePr/>
      </xdr:nvGraphicFramePr>
      <xdr:xfrm>
        <a:off x="141120" y="139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7</xdr:row>
      <xdr:rowOff>78120</xdr:rowOff>
    </xdr:from>
    <xdr:to>
      <xdr:col>11</xdr:col>
      <xdr:colOff>507600</xdr:colOff>
      <xdr:row>23</xdr:row>
      <xdr:rowOff>89640</xdr:rowOff>
    </xdr:to>
    <xdr:graphicFrame>
      <xdr:nvGraphicFramePr>
        <xdr:cNvPr id="1" name="Chart 1"/>
        <xdr:cNvGraphicFramePr/>
      </xdr:nvGraphicFramePr>
      <xdr:xfrm>
        <a:off x="2867040" y="1523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0" createdVersion="3">
  <cacheSource type="worksheet">
    <worksheetSource ref="A1:N301" sheet="T1_Cleaned"/>
  </cacheSource>
  <cacheFields count="14">
    <cacheField name="Order ID" numFmtId="0">
      <sharedItems count="300">
        <s v="CA-2026-100001"/>
        <s v="CA-2026-100002"/>
        <s v="CA-2026-100003"/>
        <s v="CA-2026-100004"/>
        <s v="CA-2026-100005"/>
        <s v="CA-2026-100006"/>
        <s v="CA-2026-100007"/>
        <s v="CA-2026-100008"/>
        <s v="CA-2026-100009"/>
        <s v="CA-2026-100010"/>
        <s v="CA-2026-100011"/>
        <s v="CA-2026-100012"/>
        <s v="CA-2026-100013"/>
        <s v="CA-2026-100014"/>
        <s v="CA-2026-100015"/>
        <s v="CA-2026-100016"/>
        <s v="CA-2026-100017"/>
        <s v="CA-2026-100018"/>
        <s v="CA-2026-100019"/>
        <s v="CA-2026-100020"/>
        <s v="CA-2026-100021"/>
        <s v="CA-2026-100022"/>
        <s v="CA-2026-100023"/>
        <s v="CA-2026-100024"/>
        <s v="CA-2026-100025"/>
        <s v="CA-2026-100026"/>
        <s v="CA-2026-100027"/>
        <s v="CA-2026-100028"/>
        <s v="CA-2026-100029"/>
        <s v="CA-2026-100030"/>
        <s v="CA-2026-100031"/>
        <s v="CA-2026-100032"/>
        <s v="CA-2026-100033"/>
        <s v="CA-2026-100034"/>
        <s v="CA-2026-100035"/>
        <s v="CA-2026-100036"/>
        <s v="CA-2026-100037"/>
        <s v="CA-2026-100038"/>
        <s v="CA-2026-100039"/>
        <s v="CA-2026-100040"/>
        <s v="CA-2026-100041"/>
        <s v="CA-2026-100042"/>
        <s v="CA-2026-100043"/>
        <s v="CA-2026-100044"/>
        <s v="CA-2026-100045"/>
        <s v="CA-2026-100046"/>
        <s v="CA-2026-100047"/>
        <s v="CA-2026-100048"/>
        <s v="CA-2026-100049"/>
        <s v="CA-2026-100050"/>
        <s v="CA-2026-100051"/>
        <s v="CA-2026-100052"/>
        <s v="CA-2026-100053"/>
        <s v="CA-2026-100054"/>
        <s v="CA-2026-100055"/>
        <s v="CA-2026-100056"/>
        <s v="CA-2026-100057"/>
        <s v="CA-2026-100058"/>
        <s v="CA-2026-100059"/>
        <s v="CA-2026-100060"/>
        <s v="CA-2026-100061"/>
        <s v="CA-2026-100062"/>
        <s v="CA-2026-100063"/>
        <s v="CA-2026-100064"/>
        <s v="CA-2026-100065"/>
        <s v="CA-2026-100066"/>
        <s v="CA-2026-100067"/>
        <s v="CA-2026-100068"/>
        <s v="CA-2026-100069"/>
        <s v="CA-2026-100070"/>
        <s v="CA-2026-100071"/>
        <s v="CA-2026-100072"/>
        <s v="CA-2026-100073"/>
        <s v="CA-2026-100074"/>
        <s v="CA-2026-100075"/>
        <s v="CA-2026-100076"/>
        <s v="CA-2026-100077"/>
        <s v="CA-2026-100078"/>
        <s v="CA-2026-100079"/>
        <s v="CA-2026-100080"/>
        <s v="CA-2026-100081"/>
        <s v="CA-2026-100082"/>
        <s v="CA-2026-100083"/>
        <s v="CA-2026-100084"/>
        <s v="CA-2026-100085"/>
        <s v="CA-2026-100086"/>
        <s v="CA-2026-100087"/>
        <s v="CA-2026-100088"/>
        <s v="CA-2026-100089"/>
        <s v="CA-2026-100090"/>
        <s v="CA-2026-100091"/>
        <s v="CA-2026-100092"/>
        <s v="CA-2026-100093"/>
        <s v="CA-2026-100094"/>
        <s v="CA-2026-100095"/>
        <s v="CA-2026-100096"/>
        <s v="CA-2026-100097"/>
        <s v="CA-2026-100098"/>
        <s v="CA-2026-100099"/>
        <s v="CA-2026-100100"/>
        <s v="CA-2026-100101"/>
        <s v="CA-2026-100102"/>
        <s v="CA-2026-100103"/>
        <s v="CA-2026-100104"/>
        <s v="CA-2026-100105"/>
        <s v="CA-2026-100106"/>
        <s v="CA-2026-100107"/>
        <s v="CA-2026-100108"/>
        <s v="CA-2026-100109"/>
        <s v="CA-2026-100110"/>
        <s v="CA-2026-100111"/>
        <s v="CA-2026-100112"/>
        <s v="CA-2026-100113"/>
        <s v="CA-2026-100114"/>
        <s v="CA-2026-100115"/>
        <s v="CA-2026-100116"/>
        <s v="CA-2026-100117"/>
        <s v="CA-2026-100118"/>
        <s v="CA-2026-100119"/>
        <s v="CA-2026-100120"/>
        <s v="CA-2026-100121"/>
        <s v="CA-2026-100122"/>
        <s v="CA-2026-100123"/>
        <s v="CA-2026-100124"/>
        <s v="CA-2026-100125"/>
        <s v="CA-2026-100126"/>
        <s v="CA-2026-100127"/>
        <s v="CA-2026-100128"/>
        <s v="CA-2026-100129"/>
        <s v="CA-2026-100130"/>
        <s v="CA-2026-100131"/>
        <s v="CA-2026-100132"/>
        <s v="CA-2026-100133"/>
        <s v="CA-2026-100134"/>
        <s v="CA-2026-100135"/>
        <s v="CA-2026-100136"/>
        <s v="CA-2026-100137"/>
        <s v="CA-2026-100138"/>
        <s v="CA-2026-100139"/>
        <s v="CA-2026-100140"/>
        <s v="CA-2026-100141"/>
        <s v="CA-2026-100142"/>
        <s v="CA-2026-100143"/>
        <s v="CA-2026-100144"/>
        <s v="CA-2026-100145"/>
        <s v="CA-2026-100146"/>
        <s v="CA-2026-100147"/>
        <s v="CA-2026-100148"/>
        <s v="CA-2026-100149"/>
        <s v="CA-2026-100150"/>
        <s v="CA-2026-100151"/>
        <s v="CA-2026-100152"/>
        <s v="CA-2026-100153"/>
        <s v="CA-2026-100154"/>
        <s v="CA-2026-100155"/>
        <s v="CA-2026-100156"/>
        <s v="CA-2026-100157"/>
        <s v="CA-2026-100158"/>
        <s v="CA-2026-100159"/>
        <s v="CA-2026-100160"/>
        <s v="CA-2026-100161"/>
        <s v="CA-2026-100162"/>
        <s v="CA-2026-100163"/>
        <s v="CA-2026-100164"/>
        <s v="CA-2026-100165"/>
        <s v="CA-2026-100166"/>
        <s v="CA-2026-100167"/>
        <s v="CA-2026-100168"/>
        <s v="CA-2026-100169"/>
        <s v="CA-2026-100170"/>
        <s v="CA-2026-100171"/>
        <s v="CA-2026-100172"/>
        <s v="CA-2026-100173"/>
        <s v="CA-2026-100174"/>
        <s v="CA-2026-100175"/>
        <s v="CA-2026-100176"/>
        <s v="CA-2026-100177"/>
        <s v="CA-2026-100178"/>
        <s v="CA-2026-100179"/>
        <s v="CA-2026-100180"/>
        <s v="CA-2026-100181"/>
        <s v="CA-2026-100182"/>
        <s v="CA-2026-100183"/>
        <s v="CA-2026-100184"/>
        <s v="CA-2026-100185"/>
        <s v="CA-2026-100186"/>
        <s v="CA-2026-100187"/>
        <s v="CA-2026-100188"/>
        <s v="CA-2026-100189"/>
        <s v="CA-2026-100190"/>
        <s v="CA-2026-100191"/>
        <s v="CA-2026-100192"/>
        <s v="CA-2026-100193"/>
        <s v="CA-2026-100194"/>
        <s v="CA-2026-100195"/>
        <s v="CA-2026-100196"/>
        <s v="CA-2026-100197"/>
        <s v="CA-2026-100198"/>
        <s v="CA-2026-100199"/>
        <s v="CA-2026-100200"/>
        <s v="CA-2026-100201"/>
        <s v="CA-2026-100202"/>
        <s v="CA-2026-100203"/>
        <s v="CA-2026-100204"/>
        <s v="CA-2026-100205"/>
        <s v="CA-2026-100206"/>
        <s v="CA-2026-100207"/>
        <s v="CA-2026-100208"/>
        <s v="CA-2026-100209"/>
        <s v="CA-2026-100210"/>
        <s v="CA-2026-100211"/>
        <s v="CA-2026-100212"/>
        <s v="CA-2026-100213"/>
        <s v="CA-2026-100214"/>
        <s v="CA-2026-100215"/>
        <s v="CA-2026-100216"/>
        <s v="CA-2026-100217"/>
        <s v="CA-2026-100218"/>
        <s v="CA-2026-100219"/>
        <s v="CA-2026-100220"/>
        <s v="CA-2026-100221"/>
        <s v="CA-2026-100222"/>
        <s v="CA-2026-100223"/>
        <s v="CA-2026-100224"/>
        <s v="CA-2026-100225"/>
        <s v="CA-2026-100226"/>
        <s v="CA-2026-100227"/>
        <s v="CA-2026-100228"/>
        <s v="CA-2026-100229"/>
        <s v="CA-2026-100230"/>
        <s v="CA-2026-100231"/>
        <s v="CA-2026-100232"/>
        <s v="CA-2026-100233"/>
        <s v="CA-2026-100234"/>
        <s v="CA-2026-100235"/>
        <s v="CA-2026-100236"/>
        <s v="CA-2026-100237"/>
        <s v="CA-2026-100238"/>
        <s v="CA-2026-100239"/>
        <s v="CA-2026-100240"/>
        <s v="CA-2026-100241"/>
        <s v="CA-2026-100242"/>
        <s v="CA-2026-100243"/>
        <s v="CA-2026-100244"/>
        <s v="CA-2026-100245"/>
        <s v="CA-2026-100246"/>
        <s v="CA-2026-100247"/>
        <s v="CA-2026-100248"/>
        <s v="CA-2026-100249"/>
        <s v="CA-2026-100250"/>
        <s v="CA-2026-100251"/>
        <s v="CA-2026-100252"/>
        <s v="CA-2026-100253"/>
        <s v="CA-2026-100254"/>
        <s v="CA-2026-100255"/>
        <s v="CA-2026-100256"/>
        <s v="CA-2026-100257"/>
        <s v="CA-2026-100258"/>
        <s v="CA-2026-100259"/>
        <s v="CA-2026-100260"/>
        <s v="CA-2026-100261"/>
        <s v="CA-2026-100262"/>
        <s v="CA-2026-100263"/>
        <s v="CA-2026-100264"/>
        <s v="CA-2026-100265"/>
        <s v="CA-2026-100266"/>
        <s v="CA-2026-100267"/>
        <s v="CA-2026-100268"/>
        <s v="CA-2026-100269"/>
        <s v="CA-2026-100270"/>
        <s v="CA-2026-100271"/>
        <s v="CA-2026-100272"/>
        <s v="CA-2026-100273"/>
        <s v="CA-2026-100274"/>
        <s v="CA-2026-100275"/>
        <s v="CA-2026-100276"/>
        <s v="CA-2026-100277"/>
        <s v="CA-2026-100278"/>
        <s v="CA-2026-100279"/>
        <s v="CA-2026-100280"/>
        <s v="CA-2026-100281"/>
        <s v="CA-2026-100282"/>
        <s v="CA-2026-100283"/>
        <s v="CA-2026-100284"/>
        <s v="CA-2026-100285"/>
        <s v="CA-2026-100286"/>
        <s v="CA-2026-100287"/>
        <s v="CA-2026-100288"/>
        <s v="CA-2026-100289"/>
        <s v="CA-2026-100290"/>
        <s v="CA-2026-100291"/>
        <s v="CA-2026-100292"/>
        <s v="CA-2026-100293"/>
        <s v="CA-2026-100294"/>
        <s v="CA-2026-100295"/>
        <s v="CA-2026-100296"/>
        <s v="CA-2026-100297"/>
        <s v="CA-2026-100298"/>
        <s v="CA-2026-100299"/>
        <s v="CA-2026-100300"/>
      </sharedItems>
    </cacheField>
    <cacheField name="Ship Mode" numFmtId="0">
      <sharedItems count="4">
        <s v="First Class"/>
        <s v="Same Day"/>
        <s v="Second Class"/>
        <s v="Standard Class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16">
        <s v="Atlanta"/>
        <s v="Boston"/>
        <s v="Charlotte"/>
        <s v="Chicago"/>
        <s v="Dallas"/>
        <s v="Denver"/>
        <s v="Houston"/>
        <s v="Los Angeles"/>
        <s v="Miami"/>
        <s v="Minneapolis"/>
        <s v="Nashville"/>
        <s v="New York City"/>
        <s v="Newark"/>
        <s v="Philadelphia"/>
        <s v="Portland"/>
        <s v="Seattle"/>
      </sharedItems>
    </cacheField>
    <cacheField name="State" numFmtId="0">
      <sharedItems count="15">
        <s v="California"/>
        <s v="Colorado"/>
        <s v="Florida"/>
        <s v="Georgia"/>
        <s v="Illinois"/>
        <s v="Massachusetts"/>
        <s v="Minnesota"/>
        <s v="New Jersey"/>
        <s v="New York"/>
        <s v="North Carolina"/>
        <s v="Oregon"/>
        <s v="Pennsylvania"/>
        <s v="Tennessee"/>
        <s v="Texas"/>
        <s v="Washington"/>
      </sharedItems>
    </cacheField>
    <cacheField name="Postal Code" numFmtId="0">
      <sharedItems containsSemiMixedTypes="0" containsString="0" containsNumber="1" containsInteger="1" minValue="2127" maxValue="98103" count="16">
        <n v="2127"/>
        <n v="7102"/>
        <n v="10011"/>
        <n v="19140"/>
        <n v="28205"/>
        <n v="30318"/>
        <n v="33311"/>
        <n v="37211"/>
        <n v="55407"/>
        <n v="60610"/>
        <n v="75217"/>
        <n v="77095"/>
        <n v="80219"/>
        <n v="90036"/>
        <n v="97206"/>
        <n v="98103"/>
      </sharedItems>
    </cacheField>
    <cacheField name="Region" numFmtId="0">
      <sharedItems count="4">
        <s v="Central"/>
        <s v="East"/>
        <s v="South"/>
        <s v="We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Sales" numFmtId="0">
      <sharedItems containsSemiMixedTypes="0" containsString="0" containsNumber="1" minValue="6.51" maxValue="8144.44" count="300">
        <n v="6.51"/>
        <n v="7.04"/>
        <n v="10.35"/>
        <n v="10.43"/>
        <n v="10.75"/>
        <n v="11.27"/>
        <n v="11.89"/>
        <n v="13.05"/>
        <n v="13.25"/>
        <n v="13.43"/>
        <n v="13.45"/>
        <n v="14.11"/>
        <n v="15.51"/>
        <n v="15.89"/>
        <n v="16.19"/>
        <n v="19.63"/>
        <n v="20.45"/>
        <n v="20.49"/>
        <n v="20.58"/>
        <n v="20.74"/>
        <n v="20.99"/>
        <n v="21.27"/>
        <n v="22.84"/>
        <n v="23.11"/>
        <n v="23.49"/>
        <n v="24.28"/>
        <n v="25.16"/>
        <n v="25.31"/>
        <n v="25.45"/>
        <n v="25.79"/>
        <n v="25.91"/>
        <n v="26.24"/>
        <n v="26.75"/>
        <n v="27.92"/>
        <n v="28.44"/>
        <n v="29.49"/>
        <n v="29.74"/>
        <n v="29.98"/>
        <n v="30.09"/>
        <n v="30.11"/>
        <n v="30.2"/>
        <n v="30.51"/>
        <n v="31.19"/>
        <n v="31.72"/>
        <n v="32.42"/>
        <n v="33.8"/>
        <n v="33.92"/>
        <n v="33.95"/>
        <n v="34.19"/>
        <n v="34.85"/>
        <n v="34.92"/>
        <n v="34.93"/>
        <n v="35.06"/>
        <n v="35.25"/>
        <n v="35.29"/>
        <n v="35.43"/>
        <n v="36.83"/>
        <n v="36.94"/>
        <n v="37.12"/>
        <n v="37.4"/>
        <n v="38.07"/>
        <n v="38.66"/>
        <n v="38.74"/>
        <n v="39.19"/>
        <n v="39.21"/>
        <n v="39.55"/>
        <n v="39.65"/>
        <n v="40.63"/>
        <n v="41.31"/>
        <n v="41.95"/>
        <n v="42.07"/>
        <n v="42.1"/>
        <n v="42.84"/>
        <n v="42.97"/>
        <n v="43.13"/>
        <n v="43.44"/>
        <n v="43.49"/>
        <n v="44.65"/>
        <n v="44.92"/>
        <n v="45.77"/>
        <n v="46.3"/>
        <n v="46.42"/>
        <n v="46.5"/>
        <n v="46.72"/>
        <n v="49.58"/>
        <n v="50"/>
        <n v="50.22"/>
        <n v="51.09"/>
        <n v="51.79"/>
        <n v="52.24"/>
        <n v="53.1"/>
        <n v="53.63"/>
        <n v="53.73"/>
        <n v="53.79"/>
        <n v="54.35"/>
        <n v="54.37"/>
        <n v="55.61"/>
        <n v="56.15"/>
        <n v="57.01"/>
        <n v="58.56"/>
        <n v="60.52"/>
        <n v="61.14"/>
        <n v="61.61"/>
        <n v="63.15"/>
        <n v="63.82"/>
        <n v="64.34"/>
        <n v="64.73"/>
        <n v="64.8"/>
        <n v="66.25"/>
        <n v="66.97"/>
        <n v="67.19"/>
        <n v="67.74"/>
        <n v="68.39"/>
        <n v="68.56"/>
        <n v="68.6"/>
        <n v="68.88"/>
        <n v="70.21"/>
        <n v="72.3"/>
        <n v="73.2"/>
        <n v="73.29"/>
        <n v="74.16"/>
        <n v="74.96"/>
        <n v="75.14"/>
        <n v="75.83"/>
        <n v="76.04"/>
        <n v="78.26"/>
        <n v="79.91"/>
        <n v="79.95"/>
        <n v="81.28"/>
        <n v="85.42"/>
        <n v="85.6"/>
        <n v="86.06"/>
        <n v="86.45"/>
        <n v="87.3"/>
        <n v="87.62"/>
        <n v="88.04"/>
        <n v="88.44"/>
        <n v="88.57"/>
        <n v="89.04"/>
        <n v="90.75"/>
        <n v="90.89"/>
        <n v="91.38"/>
        <n v="93.2"/>
        <n v="95.53"/>
        <n v="95.88"/>
        <n v="99.88"/>
        <n v="102"/>
        <n v="102.09"/>
        <n v="102.11"/>
        <n v="102.12"/>
        <n v="102.37"/>
        <n v="102.81"/>
        <n v="103.02"/>
        <n v="105.53"/>
        <n v="106.14"/>
        <n v="107.64"/>
        <n v="107.8"/>
        <n v="108.24"/>
        <n v="108.53"/>
        <n v="108.54"/>
        <n v="108.88"/>
        <n v="110.78"/>
        <n v="111.46"/>
        <n v="111.82"/>
        <n v="113.83"/>
        <n v="114.86"/>
        <n v="115.52"/>
        <n v="116.91"/>
        <n v="116.99"/>
        <n v="118.56"/>
        <n v="118.6"/>
        <n v="119.98"/>
        <n v="121.65"/>
        <n v="122.56"/>
        <n v="123.33"/>
        <n v="126.65"/>
        <n v="126.68"/>
        <n v="127.49"/>
        <n v="129.47"/>
        <n v="130.11"/>
        <n v="131.97"/>
        <n v="132.54"/>
        <n v="132.95"/>
        <n v="132.99"/>
        <n v="133.14"/>
        <n v="133.36"/>
        <n v="135.22"/>
        <n v="135.28"/>
        <n v="136.78"/>
        <n v="137.46"/>
        <n v="137.48"/>
        <n v="137.56"/>
        <n v="137.61"/>
        <n v="137.63"/>
        <n v="138.2"/>
        <n v="139.8"/>
        <n v="140.12"/>
        <n v="140.26"/>
        <n v="140.3"/>
        <n v="140.56"/>
        <n v="142.6"/>
        <n v="143.63"/>
        <n v="144.28"/>
        <n v="149.2"/>
        <n v="150.2"/>
        <n v="152.08"/>
        <n v="152.45"/>
        <n v="153.06"/>
        <n v="154.56"/>
        <n v="154.91"/>
        <n v="156.24"/>
        <n v="156.46"/>
        <n v="156.88"/>
        <n v="158.48"/>
        <n v="158.69"/>
        <n v="161.23"/>
        <n v="162.96"/>
        <n v="164.81"/>
        <n v="164.95"/>
        <n v="165.2"/>
        <n v="166.38"/>
        <n v="166.73"/>
        <n v="168.27"/>
        <n v="171.13"/>
        <n v="171.24"/>
        <n v="172.28"/>
        <n v="173.48"/>
        <n v="174.23"/>
        <n v="174.97"/>
        <n v="177.32"/>
        <n v="178.07"/>
        <n v="179.91"/>
        <n v="180.86"/>
        <n v="181.91"/>
        <n v="182.85"/>
        <n v="182.97"/>
        <n v="188.13"/>
        <n v="195.39"/>
        <n v="195.75"/>
        <n v="200"/>
        <n v="200.02"/>
        <n v="200.22"/>
        <n v="202.26"/>
        <n v="202.43"/>
        <n v="205.17"/>
        <n v="206.18"/>
        <n v="210.94"/>
        <n v="215.98"/>
        <n v="219.7"/>
        <n v="223.63"/>
        <n v="226.1"/>
        <n v="234.53"/>
        <n v="237.17"/>
        <n v="243.6"/>
        <n v="251.27"/>
        <n v="253.9"/>
        <n v="254.59"/>
        <n v="257.91"/>
        <n v="260.81"/>
        <n v="261.72"/>
        <n v="265.99"/>
        <n v="266.15"/>
        <n v="269.82"/>
        <n v="275.64"/>
        <n v="276.13"/>
        <n v="276.85"/>
        <n v="277.83"/>
        <n v="278.77"/>
        <n v="282.15"/>
        <n v="284.56"/>
        <n v="297.59"/>
        <n v="306.46"/>
        <n v="313.3"/>
        <n v="314.39"/>
        <n v="325.84"/>
        <n v="343.57"/>
        <n v="348.71"/>
        <n v="361.38"/>
        <n v="411.26"/>
        <n v="415.54"/>
        <n v="421.68"/>
        <n v="428.13"/>
        <n v="436.83"/>
        <n v="456.33"/>
        <n v="487.33"/>
        <n v="491.45"/>
        <n v="501.16"/>
        <n v="527.15"/>
        <n v="566.33"/>
        <n v="580.16"/>
        <n v="638.97"/>
        <n v="660.15"/>
        <n v="678.03"/>
        <n v="723.05"/>
        <n v="888.46"/>
        <n v="900.42"/>
        <n v="919.58"/>
        <n v="1542.39"/>
        <n v="2261.16"/>
        <n v="8144.44"/>
      </sharedItems>
    </cacheField>
    <cacheField name="Quantity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Discount" numFmtId="0">
      <sharedItems containsSemiMixedTypes="0" containsString="0" containsNumber="1" minValue="0" maxValue="0.7" count="8">
        <n v="0"/>
        <n v="0.1"/>
        <n v="0.15"/>
        <n v="0.2"/>
        <n v="0.3"/>
        <n v="0.4"/>
        <n v="0.5"/>
        <n v="0.7"/>
      </sharedItems>
    </cacheField>
    <cacheField name="Profit" numFmtId="0">
      <sharedItems containsSemiMixedTypes="0" containsString="0" containsNumber="1" minValue="-2075.14" maxValue="565.44" count="290">
        <n v="-2075.14"/>
        <n v="-236.18"/>
        <n v="-206.78"/>
        <n v="-174.48"/>
        <n v="-158.49"/>
        <n v="-126.57"/>
        <n v="-82.55"/>
        <n v="-59.83"/>
        <n v="-44.12"/>
        <n v="-39.06"/>
        <n v="-35.68"/>
        <n v="-34.11"/>
        <n v="-33.24"/>
        <n v="-31.34"/>
        <n v="-28.3"/>
        <n v="-27.4"/>
        <n v="-25.67"/>
        <n v="-23.97"/>
        <n v="-23.09"/>
        <n v="-20.51"/>
        <n v="-20.1"/>
        <n v="-18.89"/>
        <n v="-18.8"/>
        <n v="-18.51"/>
        <n v="-18.32"/>
        <n v="-16.73"/>
        <n v="-15.08"/>
        <n v="-12.68"/>
        <n v="-11.54"/>
        <n v="-11.12"/>
        <n v="-9.86"/>
        <n v="-9.7"/>
        <n v="-9.62"/>
        <n v="-9.04"/>
        <n v="-8.72"/>
        <n v="-8.02"/>
        <n v="-7.67"/>
        <n v="-6.92"/>
        <n v="-6.72"/>
        <n v="-6.59"/>
        <n v="-6.57"/>
        <n v="-6.46"/>
        <n v="-6.43"/>
        <n v="-6.09"/>
        <n v="-6.08"/>
        <n v="-5.35"/>
        <n v="-5.09"/>
        <n v="-4.94"/>
        <n v="-4.59"/>
        <n v="-4.51"/>
        <n v="-4.25"/>
        <n v="-3.69"/>
        <n v="-3.42"/>
        <n v="-3"/>
        <n v="-2.82"/>
        <n v="-2.62"/>
        <n v="-2.59"/>
        <n v="-2.32"/>
        <n v="-1.99"/>
        <n v="-1.62"/>
        <n v="-1.46"/>
        <n v="-1.35"/>
        <n v="-1.1"/>
        <n v="-0.89"/>
        <n v="-0.53"/>
        <n v="-0.52"/>
        <n v="-0.41"/>
        <n v="-0.38"/>
        <n v="-0.15"/>
        <n v="0.35"/>
        <n v="0.57"/>
        <n v="0.74"/>
        <n v="1.1"/>
        <n v="1.11"/>
        <n v="1.15"/>
        <n v="1.21"/>
        <n v="1.26"/>
        <n v="1.28"/>
        <n v="1.4"/>
        <n v="1.66"/>
        <n v="1.67"/>
        <n v="1.68"/>
        <n v="1.87"/>
        <n v="2.24"/>
        <n v="2.43"/>
        <n v="2.51"/>
        <n v="2.53"/>
        <n v="2.57"/>
        <n v="2.61"/>
        <n v="2.65"/>
        <n v="2.67"/>
        <n v="2.73"/>
        <n v="2.97"/>
        <n v="2.98"/>
        <n v="3.07"/>
        <n v="3.1"/>
        <n v="3.13"/>
        <n v="3.34"/>
        <n v="3.39"/>
        <n v="3.49"/>
        <n v="3.57"/>
        <n v="3.66"/>
        <n v="3.69"/>
        <n v="3.87"/>
        <n v="3.9"/>
        <n v="4.02"/>
        <n v="4.06"/>
        <n v="4.14"/>
        <n v="4.18"/>
        <n v="4.21"/>
        <n v="4.34"/>
        <n v="4.44"/>
        <n v="4.5"/>
        <n v="4.51"/>
        <n v="4.58"/>
        <n v="4.83"/>
        <n v="5.3"/>
        <n v="5.44"/>
        <n v="5.62"/>
        <n v="5.95"/>
        <n v="6.13"/>
        <n v="6.25"/>
        <n v="6.7"/>
        <n v="6.92"/>
        <n v="7.23"/>
        <n v="7.25"/>
        <n v="7.91"/>
        <n v="7.97"/>
        <n v="8.06"/>
        <n v="8.17"/>
        <n v="8.48"/>
        <n v="8.49"/>
        <n v="8.53"/>
        <n v="8.68"/>
        <n v="9.23"/>
        <n v="9.29"/>
        <n v="9.59"/>
        <n v="9.65"/>
        <n v="9.94"/>
        <n v="9.98"/>
        <n v="10.04"/>
        <n v="10.24"/>
        <n v="10.33"/>
        <n v="11.02"/>
        <n v="11.09"/>
        <n v="11.35"/>
        <n v="11.36"/>
        <n v="11.43"/>
        <n v="11.47"/>
        <n v="11.61"/>
        <n v="11.62"/>
        <n v="11.71"/>
        <n v="11.74"/>
        <n v="11.81"/>
        <n v="11.91"/>
        <n v="11.93"/>
        <n v="11.95"/>
        <n v="12.21"/>
        <n v="12.86"/>
        <n v="13.42"/>
        <n v="13.51"/>
        <n v="13.73"/>
        <n v="13.76"/>
        <n v="13.99"/>
        <n v="14.07"/>
        <n v="14.1"/>
        <n v="14.27"/>
        <n v="14.41"/>
        <n v="14.65"/>
        <n v="14.76"/>
        <n v="14.82"/>
        <n v="15.16"/>
        <n v="15.52"/>
        <n v="15.68"/>
        <n v="16.36"/>
        <n v="16.42"/>
        <n v="16.47"/>
        <n v="16.51"/>
        <n v="17.14"/>
        <n v="17.17"/>
        <n v="17.19"/>
        <n v="17.7"/>
        <n v="17.97"/>
        <n v="18.03"/>
        <n v="18.58"/>
        <n v="19.05"/>
        <n v="19.15"/>
        <n v="19.58"/>
        <n v="19.66"/>
        <n v="20.27"/>
        <n v="20.31"/>
        <n v="20.59"/>
        <n v="21.03"/>
        <n v="21.38"/>
        <n v="21.81"/>
        <n v="22.2"/>
        <n v="22.43"/>
        <n v="22.48"/>
        <n v="22.81"/>
        <n v="22.99"/>
        <n v="23.68"/>
        <n v="23.81"/>
        <n v="24.91"/>
        <n v="25.1"/>
        <n v="25.13"/>
        <n v="25.15"/>
        <n v="25.6"/>
        <n v="25.8"/>
        <n v="25.84"/>
        <n v="26.11"/>
        <n v="26.34"/>
        <n v="27.77"/>
        <n v="28.91"/>
        <n v="29.44"/>
        <n v="29.48"/>
        <n v="29.86"/>
        <n v="30.01"/>
        <n v="30.73"/>
        <n v="31.13"/>
        <n v="31.42"/>
        <n v="32.21"/>
        <n v="32.6"/>
        <n v="32.68"/>
        <n v="33.08"/>
        <n v="33.24"/>
        <n v="34.07"/>
        <n v="34.1"/>
        <n v="35.05"/>
        <n v="35.93"/>
        <n v="37.15"/>
        <n v="37.73"/>
        <n v="38.71"/>
        <n v="40.06"/>
        <n v="41.13"/>
        <n v="41.96"/>
        <n v="42.12"/>
        <n v="43.16"/>
        <n v="43.48"/>
        <n v="43.59"/>
        <n v="43.75"/>
        <n v="44.84"/>
        <n v="45.79"/>
        <n v="45.93"/>
        <n v="46.65"/>
        <n v="48.35"/>
        <n v="48.7"/>
        <n v="51.56"/>
        <n v="52.23"/>
        <n v="52.69"/>
        <n v="53.75"/>
        <n v="54.56"/>
        <n v="55.64"/>
        <n v="55.66"/>
        <n v="56.63"/>
        <n v="56.95"/>
        <n v="57.1"/>
        <n v="57.99"/>
        <n v="59.78"/>
        <n v="60.33"/>
        <n v="63.01"/>
        <n v="63.34"/>
        <n v="64.2"/>
        <n v="67.61"/>
        <n v="68.38"/>
        <n v="71.35"/>
        <n v="72.64"/>
        <n v="74.19"/>
        <n v="75.45"/>
        <n v="80.78"/>
        <n v="84.08"/>
        <n v="86.19"/>
        <n v="86.69"/>
        <n v="90.71"/>
        <n v="93.99"/>
        <n v="94.03"/>
        <n v="97.8"/>
        <n v="98.38"/>
        <n v="100.34"/>
        <n v="102.52"/>
        <n v="107.61"/>
        <n v="108.06"/>
        <n v="108.37"/>
        <n v="114.03"/>
        <n v="115.46"/>
        <n v="119.75"/>
        <n v="146.83"/>
        <n v="156.78"/>
        <n v="187.73"/>
        <n v="278.8"/>
        <n v="565.4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2"/>
    <x v="1"/>
    <x v="0"/>
    <x v="11"/>
    <x v="8"/>
    <x v="2"/>
    <x v="1"/>
    <x v="2"/>
    <x v="13"/>
    <x v="158"/>
    <x v="4"/>
    <x v="3"/>
    <x v="216"/>
  </r>
  <r>
    <x v="1"/>
    <x v="2"/>
    <x v="0"/>
    <x v="0"/>
    <x v="2"/>
    <x v="9"/>
    <x v="4"/>
    <x v="2"/>
    <x v="0"/>
    <x v="9"/>
    <x v="165"/>
    <x v="3"/>
    <x v="0"/>
    <x v="198"/>
  </r>
  <r>
    <x v="2"/>
    <x v="3"/>
    <x v="1"/>
    <x v="0"/>
    <x v="1"/>
    <x v="5"/>
    <x v="0"/>
    <x v="1"/>
    <x v="2"/>
    <x v="6"/>
    <x v="274"/>
    <x v="6"/>
    <x v="7"/>
    <x v="143"/>
  </r>
  <r>
    <x v="3"/>
    <x v="0"/>
    <x v="2"/>
    <x v="0"/>
    <x v="12"/>
    <x v="7"/>
    <x v="1"/>
    <x v="1"/>
    <x v="2"/>
    <x v="11"/>
    <x v="243"/>
    <x v="1"/>
    <x v="1"/>
    <x v="262"/>
  </r>
  <r>
    <x v="4"/>
    <x v="1"/>
    <x v="0"/>
    <x v="0"/>
    <x v="9"/>
    <x v="6"/>
    <x v="8"/>
    <x v="0"/>
    <x v="2"/>
    <x v="13"/>
    <x v="229"/>
    <x v="6"/>
    <x v="0"/>
    <x v="9"/>
  </r>
  <r>
    <x v="5"/>
    <x v="1"/>
    <x v="0"/>
    <x v="0"/>
    <x v="8"/>
    <x v="2"/>
    <x v="6"/>
    <x v="2"/>
    <x v="2"/>
    <x v="6"/>
    <x v="240"/>
    <x v="7"/>
    <x v="2"/>
    <x v="272"/>
  </r>
  <r>
    <x v="6"/>
    <x v="3"/>
    <x v="0"/>
    <x v="0"/>
    <x v="12"/>
    <x v="7"/>
    <x v="1"/>
    <x v="1"/>
    <x v="0"/>
    <x v="16"/>
    <x v="157"/>
    <x v="1"/>
    <x v="6"/>
    <x v="12"/>
  </r>
  <r>
    <x v="7"/>
    <x v="0"/>
    <x v="0"/>
    <x v="0"/>
    <x v="10"/>
    <x v="12"/>
    <x v="7"/>
    <x v="2"/>
    <x v="1"/>
    <x v="3"/>
    <x v="77"/>
    <x v="5"/>
    <x v="7"/>
    <x v="38"/>
  </r>
  <r>
    <x v="8"/>
    <x v="1"/>
    <x v="0"/>
    <x v="0"/>
    <x v="4"/>
    <x v="13"/>
    <x v="10"/>
    <x v="0"/>
    <x v="0"/>
    <x v="16"/>
    <x v="88"/>
    <x v="8"/>
    <x v="7"/>
    <x v="21"/>
  </r>
  <r>
    <x v="9"/>
    <x v="1"/>
    <x v="0"/>
    <x v="0"/>
    <x v="8"/>
    <x v="2"/>
    <x v="6"/>
    <x v="2"/>
    <x v="0"/>
    <x v="9"/>
    <x v="128"/>
    <x v="3"/>
    <x v="5"/>
    <x v="35"/>
  </r>
  <r>
    <x v="10"/>
    <x v="2"/>
    <x v="2"/>
    <x v="0"/>
    <x v="13"/>
    <x v="11"/>
    <x v="3"/>
    <x v="1"/>
    <x v="1"/>
    <x v="8"/>
    <x v="90"/>
    <x v="2"/>
    <x v="0"/>
    <x v="187"/>
  </r>
  <r>
    <x v="11"/>
    <x v="0"/>
    <x v="0"/>
    <x v="0"/>
    <x v="1"/>
    <x v="5"/>
    <x v="0"/>
    <x v="1"/>
    <x v="0"/>
    <x v="5"/>
    <x v="288"/>
    <x v="5"/>
    <x v="0"/>
    <x v="241"/>
  </r>
  <r>
    <x v="12"/>
    <x v="1"/>
    <x v="2"/>
    <x v="0"/>
    <x v="14"/>
    <x v="10"/>
    <x v="14"/>
    <x v="3"/>
    <x v="1"/>
    <x v="2"/>
    <x v="292"/>
    <x v="6"/>
    <x v="7"/>
    <x v="5"/>
  </r>
  <r>
    <x v="13"/>
    <x v="2"/>
    <x v="1"/>
    <x v="0"/>
    <x v="14"/>
    <x v="10"/>
    <x v="14"/>
    <x v="3"/>
    <x v="1"/>
    <x v="1"/>
    <x v="106"/>
    <x v="2"/>
    <x v="0"/>
    <x v="176"/>
  </r>
  <r>
    <x v="14"/>
    <x v="3"/>
    <x v="0"/>
    <x v="0"/>
    <x v="8"/>
    <x v="2"/>
    <x v="6"/>
    <x v="2"/>
    <x v="0"/>
    <x v="9"/>
    <x v="241"/>
    <x v="1"/>
    <x v="4"/>
    <x v="67"/>
  </r>
  <r>
    <x v="15"/>
    <x v="1"/>
    <x v="2"/>
    <x v="0"/>
    <x v="2"/>
    <x v="9"/>
    <x v="4"/>
    <x v="2"/>
    <x v="0"/>
    <x v="4"/>
    <x v="277"/>
    <x v="4"/>
    <x v="4"/>
    <x v="8"/>
  </r>
  <r>
    <x v="16"/>
    <x v="0"/>
    <x v="2"/>
    <x v="0"/>
    <x v="8"/>
    <x v="2"/>
    <x v="6"/>
    <x v="2"/>
    <x v="2"/>
    <x v="6"/>
    <x v="242"/>
    <x v="1"/>
    <x v="0"/>
    <x v="275"/>
  </r>
  <r>
    <x v="17"/>
    <x v="2"/>
    <x v="0"/>
    <x v="0"/>
    <x v="14"/>
    <x v="10"/>
    <x v="14"/>
    <x v="3"/>
    <x v="0"/>
    <x v="5"/>
    <x v="173"/>
    <x v="7"/>
    <x v="2"/>
    <x v="51"/>
  </r>
  <r>
    <x v="18"/>
    <x v="2"/>
    <x v="1"/>
    <x v="0"/>
    <x v="3"/>
    <x v="4"/>
    <x v="9"/>
    <x v="0"/>
    <x v="2"/>
    <x v="13"/>
    <x v="281"/>
    <x v="3"/>
    <x v="0"/>
    <x v="285"/>
  </r>
  <r>
    <x v="19"/>
    <x v="0"/>
    <x v="2"/>
    <x v="0"/>
    <x v="9"/>
    <x v="6"/>
    <x v="8"/>
    <x v="0"/>
    <x v="0"/>
    <x v="9"/>
    <x v="147"/>
    <x v="0"/>
    <x v="1"/>
    <x v="158"/>
  </r>
  <r>
    <x v="20"/>
    <x v="3"/>
    <x v="2"/>
    <x v="0"/>
    <x v="13"/>
    <x v="11"/>
    <x v="3"/>
    <x v="1"/>
    <x v="0"/>
    <x v="5"/>
    <x v="267"/>
    <x v="2"/>
    <x v="0"/>
    <x v="204"/>
  </r>
  <r>
    <x v="21"/>
    <x v="2"/>
    <x v="1"/>
    <x v="0"/>
    <x v="5"/>
    <x v="1"/>
    <x v="12"/>
    <x v="3"/>
    <x v="2"/>
    <x v="13"/>
    <x v="142"/>
    <x v="5"/>
    <x v="3"/>
    <x v="28"/>
  </r>
  <r>
    <x v="22"/>
    <x v="3"/>
    <x v="2"/>
    <x v="0"/>
    <x v="9"/>
    <x v="6"/>
    <x v="8"/>
    <x v="0"/>
    <x v="1"/>
    <x v="3"/>
    <x v="150"/>
    <x v="2"/>
    <x v="2"/>
    <x v="177"/>
  </r>
  <r>
    <x v="23"/>
    <x v="3"/>
    <x v="1"/>
    <x v="0"/>
    <x v="8"/>
    <x v="2"/>
    <x v="6"/>
    <x v="2"/>
    <x v="0"/>
    <x v="16"/>
    <x v="257"/>
    <x v="2"/>
    <x v="0"/>
    <x v="109"/>
  </r>
  <r>
    <x v="24"/>
    <x v="2"/>
    <x v="0"/>
    <x v="0"/>
    <x v="4"/>
    <x v="13"/>
    <x v="10"/>
    <x v="0"/>
    <x v="0"/>
    <x v="16"/>
    <x v="125"/>
    <x v="2"/>
    <x v="1"/>
    <x v="37"/>
  </r>
  <r>
    <x v="25"/>
    <x v="0"/>
    <x v="2"/>
    <x v="0"/>
    <x v="6"/>
    <x v="13"/>
    <x v="11"/>
    <x v="0"/>
    <x v="0"/>
    <x v="16"/>
    <x v="224"/>
    <x v="5"/>
    <x v="7"/>
    <x v="205"/>
  </r>
  <r>
    <x v="26"/>
    <x v="3"/>
    <x v="1"/>
    <x v="0"/>
    <x v="4"/>
    <x v="13"/>
    <x v="10"/>
    <x v="0"/>
    <x v="1"/>
    <x v="7"/>
    <x v="231"/>
    <x v="7"/>
    <x v="3"/>
    <x v="211"/>
  </r>
  <r>
    <x v="27"/>
    <x v="0"/>
    <x v="1"/>
    <x v="0"/>
    <x v="13"/>
    <x v="11"/>
    <x v="3"/>
    <x v="1"/>
    <x v="1"/>
    <x v="12"/>
    <x v="14"/>
    <x v="6"/>
    <x v="0"/>
    <x v="68"/>
  </r>
  <r>
    <x v="28"/>
    <x v="2"/>
    <x v="2"/>
    <x v="0"/>
    <x v="4"/>
    <x v="13"/>
    <x v="10"/>
    <x v="0"/>
    <x v="1"/>
    <x v="15"/>
    <x v="19"/>
    <x v="6"/>
    <x v="7"/>
    <x v="81"/>
  </r>
  <r>
    <x v="29"/>
    <x v="0"/>
    <x v="1"/>
    <x v="0"/>
    <x v="7"/>
    <x v="0"/>
    <x v="13"/>
    <x v="3"/>
    <x v="2"/>
    <x v="11"/>
    <x v="297"/>
    <x v="5"/>
    <x v="0"/>
    <x v="289"/>
  </r>
  <r>
    <x v="30"/>
    <x v="3"/>
    <x v="0"/>
    <x v="0"/>
    <x v="12"/>
    <x v="7"/>
    <x v="1"/>
    <x v="1"/>
    <x v="1"/>
    <x v="15"/>
    <x v="2"/>
    <x v="1"/>
    <x v="7"/>
    <x v="63"/>
  </r>
  <r>
    <x v="31"/>
    <x v="2"/>
    <x v="1"/>
    <x v="0"/>
    <x v="2"/>
    <x v="9"/>
    <x v="4"/>
    <x v="2"/>
    <x v="1"/>
    <x v="12"/>
    <x v="66"/>
    <x v="2"/>
    <x v="2"/>
    <x v="159"/>
  </r>
  <r>
    <x v="32"/>
    <x v="3"/>
    <x v="1"/>
    <x v="0"/>
    <x v="14"/>
    <x v="10"/>
    <x v="14"/>
    <x v="3"/>
    <x v="0"/>
    <x v="16"/>
    <x v="50"/>
    <x v="4"/>
    <x v="4"/>
    <x v="33"/>
  </r>
  <r>
    <x v="33"/>
    <x v="3"/>
    <x v="1"/>
    <x v="0"/>
    <x v="6"/>
    <x v="13"/>
    <x v="11"/>
    <x v="0"/>
    <x v="2"/>
    <x v="0"/>
    <x v="54"/>
    <x v="5"/>
    <x v="3"/>
    <x v="149"/>
  </r>
  <r>
    <x v="34"/>
    <x v="3"/>
    <x v="0"/>
    <x v="0"/>
    <x v="4"/>
    <x v="13"/>
    <x v="10"/>
    <x v="0"/>
    <x v="2"/>
    <x v="6"/>
    <x v="263"/>
    <x v="8"/>
    <x v="5"/>
    <x v="250"/>
  </r>
  <r>
    <x v="35"/>
    <x v="1"/>
    <x v="1"/>
    <x v="0"/>
    <x v="12"/>
    <x v="7"/>
    <x v="1"/>
    <x v="1"/>
    <x v="2"/>
    <x v="0"/>
    <x v="266"/>
    <x v="3"/>
    <x v="5"/>
    <x v="255"/>
  </r>
  <r>
    <x v="36"/>
    <x v="1"/>
    <x v="2"/>
    <x v="0"/>
    <x v="6"/>
    <x v="13"/>
    <x v="11"/>
    <x v="0"/>
    <x v="2"/>
    <x v="13"/>
    <x v="185"/>
    <x v="5"/>
    <x v="3"/>
    <x v="235"/>
  </r>
  <r>
    <x v="37"/>
    <x v="0"/>
    <x v="2"/>
    <x v="0"/>
    <x v="10"/>
    <x v="12"/>
    <x v="7"/>
    <x v="2"/>
    <x v="0"/>
    <x v="16"/>
    <x v="32"/>
    <x v="2"/>
    <x v="1"/>
    <x v="56"/>
  </r>
  <r>
    <x v="38"/>
    <x v="1"/>
    <x v="2"/>
    <x v="0"/>
    <x v="3"/>
    <x v="4"/>
    <x v="9"/>
    <x v="0"/>
    <x v="0"/>
    <x v="4"/>
    <x v="52"/>
    <x v="2"/>
    <x v="1"/>
    <x v="74"/>
  </r>
  <r>
    <x v="39"/>
    <x v="2"/>
    <x v="1"/>
    <x v="0"/>
    <x v="9"/>
    <x v="6"/>
    <x v="8"/>
    <x v="0"/>
    <x v="1"/>
    <x v="2"/>
    <x v="7"/>
    <x v="8"/>
    <x v="3"/>
    <x v="95"/>
  </r>
  <r>
    <x v="40"/>
    <x v="0"/>
    <x v="0"/>
    <x v="0"/>
    <x v="6"/>
    <x v="13"/>
    <x v="11"/>
    <x v="0"/>
    <x v="2"/>
    <x v="0"/>
    <x v="294"/>
    <x v="8"/>
    <x v="6"/>
    <x v="282"/>
  </r>
  <r>
    <x v="41"/>
    <x v="2"/>
    <x v="1"/>
    <x v="0"/>
    <x v="8"/>
    <x v="2"/>
    <x v="6"/>
    <x v="2"/>
    <x v="1"/>
    <x v="3"/>
    <x v="118"/>
    <x v="2"/>
    <x v="0"/>
    <x v="197"/>
  </r>
  <r>
    <x v="42"/>
    <x v="2"/>
    <x v="2"/>
    <x v="0"/>
    <x v="13"/>
    <x v="11"/>
    <x v="3"/>
    <x v="1"/>
    <x v="2"/>
    <x v="13"/>
    <x v="183"/>
    <x v="5"/>
    <x v="7"/>
    <x v="97"/>
  </r>
  <r>
    <x v="43"/>
    <x v="1"/>
    <x v="2"/>
    <x v="0"/>
    <x v="4"/>
    <x v="13"/>
    <x v="10"/>
    <x v="0"/>
    <x v="2"/>
    <x v="6"/>
    <x v="213"/>
    <x v="6"/>
    <x v="6"/>
    <x v="208"/>
  </r>
  <r>
    <x v="44"/>
    <x v="2"/>
    <x v="2"/>
    <x v="0"/>
    <x v="9"/>
    <x v="6"/>
    <x v="8"/>
    <x v="0"/>
    <x v="0"/>
    <x v="16"/>
    <x v="182"/>
    <x v="3"/>
    <x v="3"/>
    <x v="17"/>
  </r>
  <r>
    <x v="45"/>
    <x v="3"/>
    <x v="1"/>
    <x v="0"/>
    <x v="10"/>
    <x v="12"/>
    <x v="7"/>
    <x v="2"/>
    <x v="1"/>
    <x v="12"/>
    <x v="197"/>
    <x v="3"/>
    <x v="0"/>
    <x v="245"/>
  </r>
  <r>
    <x v="46"/>
    <x v="0"/>
    <x v="0"/>
    <x v="0"/>
    <x v="8"/>
    <x v="2"/>
    <x v="6"/>
    <x v="2"/>
    <x v="2"/>
    <x v="13"/>
    <x v="205"/>
    <x v="5"/>
    <x v="7"/>
    <x v="92"/>
  </r>
  <r>
    <x v="47"/>
    <x v="2"/>
    <x v="0"/>
    <x v="0"/>
    <x v="1"/>
    <x v="5"/>
    <x v="0"/>
    <x v="1"/>
    <x v="0"/>
    <x v="9"/>
    <x v="236"/>
    <x v="5"/>
    <x v="0"/>
    <x v="225"/>
  </r>
  <r>
    <x v="48"/>
    <x v="2"/>
    <x v="0"/>
    <x v="0"/>
    <x v="5"/>
    <x v="1"/>
    <x v="12"/>
    <x v="3"/>
    <x v="2"/>
    <x v="11"/>
    <x v="20"/>
    <x v="1"/>
    <x v="0"/>
    <x v="131"/>
  </r>
  <r>
    <x v="49"/>
    <x v="3"/>
    <x v="0"/>
    <x v="0"/>
    <x v="9"/>
    <x v="6"/>
    <x v="8"/>
    <x v="0"/>
    <x v="2"/>
    <x v="6"/>
    <x v="280"/>
    <x v="1"/>
    <x v="5"/>
    <x v="276"/>
  </r>
  <r>
    <x v="50"/>
    <x v="1"/>
    <x v="2"/>
    <x v="0"/>
    <x v="9"/>
    <x v="6"/>
    <x v="8"/>
    <x v="0"/>
    <x v="2"/>
    <x v="11"/>
    <x v="167"/>
    <x v="7"/>
    <x v="3"/>
    <x v="212"/>
  </r>
  <r>
    <x v="51"/>
    <x v="1"/>
    <x v="2"/>
    <x v="0"/>
    <x v="3"/>
    <x v="4"/>
    <x v="9"/>
    <x v="0"/>
    <x v="0"/>
    <x v="5"/>
    <x v="208"/>
    <x v="3"/>
    <x v="4"/>
    <x v="24"/>
  </r>
  <r>
    <x v="52"/>
    <x v="3"/>
    <x v="1"/>
    <x v="0"/>
    <x v="11"/>
    <x v="8"/>
    <x v="2"/>
    <x v="1"/>
    <x v="0"/>
    <x v="5"/>
    <x v="201"/>
    <x v="3"/>
    <x v="1"/>
    <x v="99"/>
  </r>
  <r>
    <x v="53"/>
    <x v="3"/>
    <x v="1"/>
    <x v="0"/>
    <x v="0"/>
    <x v="3"/>
    <x v="5"/>
    <x v="2"/>
    <x v="1"/>
    <x v="1"/>
    <x v="27"/>
    <x v="6"/>
    <x v="3"/>
    <x v="115"/>
  </r>
  <r>
    <x v="54"/>
    <x v="0"/>
    <x v="1"/>
    <x v="0"/>
    <x v="15"/>
    <x v="14"/>
    <x v="15"/>
    <x v="3"/>
    <x v="1"/>
    <x v="15"/>
    <x v="211"/>
    <x v="6"/>
    <x v="0"/>
    <x v="252"/>
  </r>
  <r>
    <x v="55"/>
    <x v="2"/>
    <x v="1"/>
    <x v="0"/>
    <x v="2"/>
    <x v="9"/>
    <x v="4"/>
    <x v="2"/>
    <x v="1"/>
    <x v="10"/>
    <x v="5"/>
    <x v="2"/>
    <x v="3"/>
    <x v="86"/>
  </r>
  <r>
    <x v="56"/>
    <x v="1"/>
    <x v="1"/>
    <x v="0"/>
    <x v="7"/>
    <x v="0"/>
    <x v="13"/>
    <x v="3"/>
    <x v="2"/>
    <x v="0"/>
    <x v="194"/>
    <x v="6"/>
    <x v="0"/>
    <x v="263"/>
  </r>
  <r>
    <x v="57"/>
    <x v="3"/>
    <x v="0"/>
    <x v="0"/>
    <x v="13"/>
    <x v="11"/>
    <x v="3"/>
    <x v="1"/>
    <x v="1"/>
    <x v="12"/>
    <x v="26"/>
    <x v="8"/>
    <x v="5"/>
    <x v="118"/>
  </r>
  <r>
    <x v="58"/>
    <x v="2"/>
    <x v="0"/>
    <x v="0"/>
    <x v="6"/>
    <x v="13"/>
    <x v="11"/>
    <x v="0"/>
    <x v="1"/>
    <x v="12"/>
    <x v="143"/>
    <x v="8"/>
    <x v="7"/>
    <x v="59"/>
  </r>
  <r>
    <x v="59"/>
    <x v="3"/>
    <x v="0"/>
    <x v="0"/>
    <x v="14"/>
    <x v="10"/>
    <x v="14"/>
    <x v="3"/>
    <x v="1"/>
    <x v="14"/>
    <x v="171"/>
    <x v="5"/>
    <x v="4"/>
    <x v="173"/>
  </r>
  <r>
    <x v="60"/>
    <x v="1"/>
    <x v="0"/>
    <x v="0"/>
    <x v="3"/>
    <x v="4"/>
    <x v="9"/>
    <x v="0"/>
    <x v="2"/>
    <x v="0"/>
    <x v="145"/>
    <x v="0"/>
    <x v="5"/>
    <x v="213"/>
  </r>
  <r>
    <x v="61"/>
    <x v="0"/>
    <x v="1"/>
    <x v="0"/>
    <x v="15"/>
    <x v="14"/>
    <x v="15"/>
    <x v="3"/>
    <x v="2"/>
    <x v="13"/>
    <x v="38"/>
    <x v="2"/>
    <x v="6"/>
    <x v="102"/>
  </r>
  <r>
    <x v="62"/>
    <x v="0"/>
    <x v="2"/>
    <x v="0"/>
    <x v="8"/>
    <x v="2"/>
    <x v="6"/>
    <x v="2"/>
    <x v="2"/>
    <x v="13"/>
    <x v="253"/>
    <x v="8"/>
    <x v="3"/>
    <x v="256"/>
  </r>
  <r>
    <x v="63"/>
    <x v="1"/>
    <x v="0"/>
    <x v="0"/>
    <x v="8"/>
    <x v="2"/>
    <x v="6"/>
    <x v="2"/>
    <x v="2"/>
    <x v="6"/>
    <x v="92"/>
    <x v="7"/>
    <x v="0"/>
    <x v="201"/>
  </r>
  <r>
    <x v="64"/>
    <x v="2"/>
    <x v="1"/>
    <x v="0"/>
    <x v="4"/>
    <x v="13"/>
    <x v="10"/>
    <x v="0"/>
    <x v="0"/>
    <x v="4"/>
    <x v="268"/>
    <x v="5"/>
    <x v="3"/>
    <x v="10"/>
  </r>
  <r>
    <x v="65"/>
    <x v="0"/>
    <x v="0"/>
    <x v="0"/>
    <x v="4"/>
    <x v="13"/>
    <x v="10"/>
    <x v="0"/>
    <x v="2"/>
    <x v="6"/>
    <x v="47"/>
    <x v="5"/>
    <x v="0"/>
    <x v="138"/>
  </r>
  <r>
    <x v="66"/>
    <x v="3"/>
    <x v="2"/>
    <x v="0"/>
    <x v="1"/>
    <x v="5"/>
    <x v="0"/>
    <x v="1"/>
    <x v="2"/>
    <x v="11"/>
    <x v="168"/>
    <x v="3"/>
    <x v="1"/>
    <x v="217"/>
  </r>
  <r>
    <x v="67"/>
    <x v="0"/>
    <x v="1"/>
    <x v="0"/>
    <x v="5"/>
    <x v="1"/>
    <x v="12"/>
    <x v="3"/>
    <x v="1"/>
    <x v="1"/>
    <x v="198"/>
    <x v="6"/>
    <x v="1"/>
    <x v="230"/>
  </r>
  <r>
    <x v="68"/>
    <x v="3"/>
    <x v="1"/>
    <x v="0"/>
    <x v="11"/>
    <x v="8"/>
    <x v="2"/>
    <x v="1"/>
    <x v="0"/>
    <x v="9"/>
    <x v="239"/>
    <x v="4"/>
    <x v="0"/>
    <x v="200"/>
  </r>
  <r>
    <x v="69"/>
    <x v="2"/>
    <x v="2"/>
    <x v="0"/>
    <x v="5"/>
    <x v="1"/>
    <x v="12"/>
    <x v="3"/>
    <x v="1"/>
    <x v="1"/>
    <x v="101"/>
    <x v="1"/>
    <x v="1"/>
    <x v="179"/>
  </r>
  <r>
    <x v="70"/>
    <x v="1"/>
    <x v="1"/>
    <x v="0"/>
    <x v="12"/>
    <x v="7"/>
    <x v="1"/>
    <x v="1"/>
    <x v="2"/>
    <x v="0"/>
    <x v="82"/>
    <x v="5"/>
    <x v="0"/>
    <x v="191"/>
  </r>
  <r>
    <x v="71"/>
    <x v="0"/>
    <x v="1"/>
    <x v="0"/>
    <x v="4"/>
    <x v="13"/>
    <x v="10"/>
    <x v="0"/>
    <x v="1"/>
    <x v="10"/>
    <x v="96"/>
    <x v="3"/>
    <x v="0"/>
    <x v="189"/>
  </r>
  <r>
    <x v="72"/>
    <x v="1"/>
    <x v="0"/>
    <x v="0"/>
    <x v="2"/>
    <x v="9"/>
    <x v="4"/>
    <x v="2"/>
    <x v="2"/>
    <x v="6"/>
    <x v="215"/>
    <x v="7"/>
    <x v="0"/>
    <x v="270"/>
  </r>
  <r>
    <x v="73"/>
    <x v="2"/>
    <x v="1"/>
    <x v="0"/>
    <x v="2"/>
    <x v="9"/>
    <x v="4"/>
    <x v="2"/>
    <x v="0"/>
    <x v="4"/>
    <x v="295"/>
    <x v="4"/>
    <x v="5"/>
    <x v="3"/>
  </r>
  <r>
    <x v="74"/>
    <x v="2"/>
    <x v="2"/>
    <x v="0"/>
    <x v="8"/>
    <x v="2"/>
    <x v="6"/>
    <x v="2"/>
    <x v="2"/>
    <x v="11"/>
    <x v="196"/>
    <x v="8"/>
    <x v="1"/>
    <x v="246"/>
  </r>
  <r>
    <x v="75"/>
    <x v="0"/>
    <x v="1"/>
    <x v="0"/>
    <x v="12"/>
    <x v="7"/>
    <x v="1"/>
    <x v="1"/>
    <x v="1"/>
    <x v="1"/>
    <x v="67"/>
    <x v="1"/>
    <x v="6"/>
    <x v="52"/>
  </r>
  <r>
    <x v="76"/>
    <x v="0"/>
    <x v="2"/>
    <x v="0"/>
    <x v="0"/>
    <x v="3"/>
    <x v="5"/>
    <x v="2"/>
    <x v="2"/>
    <x v="6"/>
    <x v="255"/>
    <x v="7"/>
    <x v="7"/>
    <x v="209"/>
  </r>
  <r>
    <x v="77"/>
    <x v="2"/>
    <x v="1"/>
    <x v="0"/>
    <x v="5"/>
    <x v="1"/>
    <x v="12"/>
    <x v="3"/>
    <x v="2"/>
    <x v="0"/>
    <x v="200"/>
    <x v="7"/>
    <x v="0"/>
    <x v="267"/>
  </r>
  <r>
    <x v="78"/>
    <x v="0"/>
    <x v="1"/>
    <x v="0"/>
    <x v="13"/>
    <x v="11"/>
    <x v="3"/>
    <x v="1"/>
    <x v="0"/>
    <x v="4"/>
    <x v="227"/>
    <x v="6"/>
    <x v="7"/>
    <x v="6"/>
  </r>
  <r>
    <x v="79"/>
    <x v="0"/>
    <x v="2"/>
    <x v="0"/>
    <x v="9"/>
    <x v="6"/>
    <x v="8"/>
    <x v="0"/>
    <x v="1"/>
    <x v="12"/>
    <x v="160"/>
    <x v="4"/>
    <x v="3"/>
    <x v="226"/>
  </r>
  <r>
    <x v="80"/>
    <x v="0"/>
    <x v="0"/>
    <x v="0"/>
    <x v="0"/>
    <x v="3"/>
    <x v="5"/>
    <x v="2"/>
    <x v="2"/>
    <x v="11"/>
    <x v="122"/>
    <x v="1"/>
    <x v="6"/>
    <x v="121"/>
  </r>
  <r>
    <x v="81"/>
    <x v="0"/>
    <x v="2"/>
    <x v="0"/>
    <x v="11"/>
    <x v="8"/>
    <x v="2"/>
    <x v="1"/>
    <x v="0"/>
    <x v="5"/>
    <x v="172"/>
    <x v="6"/>
    <x v="0"/>
    <x v="151"/>
  </r>
  <r>
    <x v="82"/>
    <x v="2"/>
    <x v="0"/>
    <x v="0"/>
    <x v="2"/>
    <x v="9"/>
    <x v="4"/>
    <x v="2"/>
    <x v="2"/>
    <x v="6"/>
    <x v="10"/>
    <x v="4"/>
    <x v="0"/>
    <x v="123"/>
  </r>
  <r>
    <x v="83"/>
    <x v="2"/>
    <x v="2"/>
    <x v="0"/>
    <x v="5"/>
    <x v="1"/>
    <x v="12"/>
    <x v="3"/>
    <x v="1"/>
    <x v="15"/>
    <x v="57"/>
    <x v="5"/>
    <x v="3"/>
    <x v="117"/>
  </r>
  <r>
    <x v="84"/>
    <x v="2"/>
    <x v="2"/>
    <x v="0"/>
    <x v="12"/>
    <x v="7"/>
    <x v="1"/>
    <x v="1"/>
    <x v="0"/>
    <x v="4"/>
    <x v="58"/>
    <x v="0"/>
    <x v="3"/>
    <x v="49"/>
  </r>
  <r>
    <x v="85"/>
    <x v="2"/>
    <x v="1"/>
    <x v="0"/>
    <x v="7"/>
    <x v="0"/>
    <x v="13"/>
    <x v="3"/>
    <x v="0"/>
    <x v="5"/>
    <x v="132"/>
    <x v="4"/>
    <x v="1"/>
    <x v="150"/>
  </r>
  <r>
    <x v="86"/>
    <x v="3"/>
    <x v="2"/>
    <x v="0"/>
    <x v="8"/>
    <x v="2"/>
    <x v="6"/>
    <x v="2"/>
    <x v="1"/>
    <x v="1"/>
    <x v="129"/>
    <x v="3"/>
    <x v="0"/>
    <x v="210"/>
  </r>
  <r>
    <x v="87"/>
    <x v="2"/>
    <x v="2"/>
    <x v="0"/>
    <x v="2"/>
    <x v="9"/>
    <x v="4"/>
    <x v="2"/>
    <x v="1"/>
    <x v="14"/>
    <x v="16"/>
    <x v="5"/>
    <x v="3"/>
    <x v="85"/>
  </r>
  <r>
    <x v="88"/>
    <x v="0"/>
    <x v="2"/>
    <x v="0"/>
    <x v="9"/>
    <x v="6"/>
    <x v="8"/>
    <x v="0"/>
    <x v="2"/>
    <x v="0"/>
    <x v="163"/>
    <x v="8"/>
    <x v="4"/>
    <x v="231"/>
  </r>
  <r>
    <x v="89"/>
    <x v="0"/>
    <x v="2"/>
    <x v="0"/>
    <x v="14"/>
    <x v="10"/>
    <x v="14"/>
    <x v="3"/>
    <x v="0"/>
    <x v="9"/>
    <x v="298"/>
    <x v="0"/>
    <x v="6"/>
    <x v="1"/>
  </r>
  <r>
    <x v="90"/>
    <x v="0"/>
    <x v="1"/>
    <x v="0"/>
    <x v="12"/>
    <x v="7"/>
    <x v="1"/>
    <x v="1"/>
    <x v="1"/>
    <x v="12"/>
    <x v="41"/>
    <x v="6"/>
    <x v="2"/>
    <x v="126"/>
  </r>
  <r>
    <x v="91"/>
    <x v="3"/>
    <x v="2"/>
    <x v="0"/>
    <x v="2"/>
    <x v="9"/>
    <x v="4"/>
    <x v="2"/>
    <x v="1"/>
    <x v="14"/>
    <x v="11"/>
    <x v="3"/>
    <x v="0"/>
    <x v="74"/>
  </r>
  <r>
    <x v="92"/>
    <x v="2"/>
    <x v="2"/>
    <x v="0"/>
    <x v="14"/>
    <x v="10"/>
    <x v="14"/>
    <x v="3"/>
    <x v="0"/>
    <x v="5"/>
    <x v="24"/>
    <x v="4"/>
    <x v="2"/>
    <x v="71"/>
  </r>
  <r>
    <x v="93"/>
    <x v="2"/>
    <x v="0"/>
    <x v="0"/>
    <x v="4"/>
    <x v="13"/>
    <x v="10"/>
    <x v="0"/>
    <x v="1"/>
    <x v="15"/>
    <x v="13"/>
    <x v="3"/>
    <x v="7"/>
    <x v="62"/>
  </r>
  <r>
    <x v="94"/>
    <x v="3"/>
    <x v="0"/>
    <x v="0"/>
    <x v="1"/>
    <x v="5"/>
    <x v="0"/>
    <x v="1"/>
    <x v="0"/>
    <x v="5"/>
    <x v="206"/>
    <x v="1"/>
    <x v="3"/>
    <x v="125"/>
  </r>
  <r>
    <x v="95"/>
    <x v="3"/>
    <x v="2"/>
    <x v="0"/>
    <x v="4"/>
    <x v="13"/>
    <x v="10"/>
    <x v="0"/>
    <x v="1"/>
    <x v="2"/>
    <x v="86"/>
    <x v="7"/>
    <x v="7"/>
    <x v="40"/>
  </r>
  <r>
    <x v="96"/>
    <x v="1"/>
    <x v="1"/>
    <x v="0"/>
    <x v="3"/>
    <x v="4"/>
    <x v="9"/>
    <x v="0"/>
    <x v="0"/>
    <x v="5"/>
    <x v="15"/>
    <x v="5"/>
    <x v="0"/>
    <x v="82"/>
  </r>
  <r>
    <x v="97"/>
    <x v="2"/>
    <x v="0"/>
    <x v="0"/>
    <x v="8"/>
    <x v="2"/>
    <x v="6"/>
    <x v="2"/>
    <x v="0"/>
    <x v="16"/>
    <x v="104"/>
    <x v="8"/>
    <x v="7"/>
    <x v="16"/>
  </r>
  <r>
    <x v="98"/>
    <x v="0"/>
    <x v="0"/>
    <x v="0"/>
    <x v="10"/>
    <x v="12"/>
    <x v="7"/>
    <x v="2"/>
    <x v="2"/>
    <x v="0"/>
    <x v="199"/>
    <x v="7"/>
    <x v="0"/>
    <x v="265"/>
  </r>
  <r>
    <x v="99"/>
    <x v="0"/>
    <x v="0"/>
    <x v="0"/>
    <x v="13"/>
    <x v="11"/>
    <x v="3"/>
    <x v="1"/>
    <x v="1"/>
    <x v="3"/>
    <x v="114"/>
    <x v="8"/>
    <x v="3"/>
    <x v="154"/>
  </r>
  <r>
    <x v="100"/>
    <x v="0"/>
    <x v="1"/>
    <x v="0"/>
    <x v="3"/>
    <x v="4"/>
    <x v="9"/>
    <x v="0"/>
    <x v="1"/>
    <x v="3"/>
    <x v="220"/>
    <x v="1"/>
    <x v="4"/>
    <x v="119"/>
  </r>
  <r>
    <x v="101"/>
    <x v="0"/>
    <x v="1"/>
    <x v="0"/>
    <x v="0"/>
    <x v="3"/>
    <x v="5"/>
    <x v="2"/>
    <x v="1"/>
    <x v="8"/>
    <x v="112"/>
    <x v="6"/>
    <x v="0"/>
    <x v="199"/>
  </r>
  <r>
    <x v="102"/>
    <x v="0"/>
    <x v="1"/>
    <x v="0"/>
    <x v="11"/>
    <x v="8"/>
    <x v="2"/>
    <x v="1"/>
    <x v="1"/>
    <x v="7"/>
    <x v="164"/>
    <x v="0"/>
    <x v="1"/>
    <x v="221"/>
  </r>
  <r>
    <x v="103"/>
    <x v="3"/>
    <x v="1"/>
    <x v="0"/>
    <x v="15"/>
    <x v="14"/>
    <x v="15"/>
    <x v="3"/>
    <x v="1"/>
    <x v="15"/>
    <x v="120"/>
    <x v="4"/>
    <x v="5"/>
    <x v="90"/>
  </r>
  <r>
    <x v="104"/>
    <x v="3"/>
    <x v="1"/>
    <x v="0"/>
    <x v="8"/>
    <x v="2"/>
    <x v="6"/>
    <x v="2"/>
    <x v="1"/>
    <x v="14"/>
    <x v="17"/>
    <x v="8"/>
    <x v="7"/>
    <x v="53"/>
  </r>
  <r>
    <x v="105"/>
    <x v="0"/>
    <x v="2"/>
    <x v="0"/>
    <x v="5"/>
    <x v="1"/>
    <x v="12"/>
    <x v="3"/>
    <x v="1"/>
    <x v="2"/>
    <x v="133"/>
    <x v="2"/>
    <x v="6"/>
    <x v="39"/>
  </r>
  <r>
    <x v="106"/>
    <x v="3"/>
    <x v="0"/>
    <x v="0"/>
    <x v="13"/>
    <x v="11"/>
    <x v="3"/>
    <x v="1"/>
    <x v="1"/>
    <x v="8"/>
    <x v="184"/>
    <x v="8"/>
    <x v="4"/>
    <x v="120"/>
  </r>
  <r>
    <x v="107"/>
    <x v="3"/>
    <x v="2"/>
    <x v="0"/>
    <x v="6"/>
    <x v="13"/>
    <x v="11"/>
    <x v="0"/>
    <x v="2"/>
    <x v="0"/>
    <x v="214"/>
    <x v="2"/>
    <x v="3"/>
    <x v="251"/>
  </r>
  <r>
    <x v="108"/>
    <x v="2"/>
    <x v="2"/>
    <x v="0"/>
    <x v="5"/>
    <x v="1"/>
    <x v="12"/>
    <x v="3"/>
    <x v="1"/>
    <x v="1"/>
    <x v="226"/>
    <x v="5"/>
    <x v="3"/>
    <x v="206"/>
  </r>
  <r>
    <x v="109"/>
    <x v="2"/>
    <x v="1"/>
    <x v="0"/>
    <x v="1"/>
    <x v="5"/>
    <x v="0"/>
    <x v="1"/>
    <x v="2"/>
    <x v="6"/>
    <x v="156"/>
    <x v="8"/>
    <x v="0"/>
    <x v="258"/>
  </r>
  <r>
    <x v="110"/>
    <x v="1"/>
    <x v="0"/>
    <x v="0"/>
    <x v="2"/>
    <x v="9"/>
    <x v="4"/>
    <x v="2"/>
    <x v="0"/>
    <x v="5"/>
    <x v="110"/>
    <x v="1"/>
    <x v="2"/>
    <x v="122"/>
  </r>
  <r>
    <x v="111"/>
    <x v="3"/>
    <x v="2"/>
    <x v="0"/>
    <x v="10"/>
    <x v="12"/>
    <x v="7"/>
    <x v="2"/>
    <x v="1"/>
    <x v="7"/>
    <x v="80"/>
    <x v="4"/>
    <x v="0"/>
    <x v="171"/>
  </r>
  <r>
    <x v="112"/>
    <x v="1"/>
    <x v="2"/>
    <x v="0"/>
    <x v="5"/>
    <x v="1"/>
    <x v="12"/>
    <x v="3"/>
    <x v="0"/>
    <x v="4"/>
    <x v="21"/>
    <x v="7"/>
    <x v="0"/>
    <x v="65"/>
  </r>
  <r>
    <x v="113"/>
    <x v="1"/>
    <x v="2"/>
    <x v="0"/>
    <x v="10"/>
    <x v="12"/>
    <x v="7"/>
    <x v="2"/>
    <x v="1"/>
    <x v="1"/>
    <x v="60"/>
    <x v="5"/>
    <x v="3"/>
    <x v="137"/>
  </r>
  <r>
    <x v="114"/>
    <x v="2"/>
    <x v="2"/>
    <x v="0"/>
    <x v="1"/>
    <x v="5"/>
    <x v="0"/>
    <x v="1"/>
    <x v="2"/>
    <x v="11"/>
    <x v="84"/>
    <x v="2"/>
    <x v="0"/>
    <x v="35"/>
  </r>
  <r>
    <x v="115"/>
    <x v="3"/>
    <x v="0"/>
    <x v="0"/>
    <x v="14"/>
    <x v="10"/>
    <x v="14"/>
    <x v="3"/>
    <x v="0"/>
    <x v="16"/>
    <x v="140"/>
    <x v="4"/>
    <x v="0"/>
    <x v="110"/>
  </r>
  <r>
    <x v="116"/>
    <x v="2"/>
    <x v="1"/>
    <x v="0"/>
    <x v="12"/>
    <x v="7"/>
    <x v="1"/>
    <x v="1"/>
    <x v="1"/>
    <x v="2"/>
    <x v="51"/>
    <x v="6"/>
    <x v="7"/>
    <x v="45"/>
  </r>
  <r>
    <x v="117"/>
    <x v="0"/>
    <x v="1"/>
    <x v="0"/>
    <x v="6"/>
    <x v="13"/>
    <x v="11"/>
    <x v="0"/>
    <x v="0"/>
    <x v="5"/>
    <x v="235"/>
    <x v="7"/>
    <x v="0"/>
    <x v="208"/>
  </r>
  <r>
    <x v="118"/>
    <x v="0"/>
    <x v="1"/>
    <x v="0"/>
    <x v="13"/>
    <x v="11"/>
    <x v="3"/>
    <x v="1"/>
    <x v="1"/>
    <x v="7"/>
    <x v="75"/>
    <x v="5"/>
    <x v="5"/>
    <x v="113"/>
  </r>
  <r>
    <x v="119"/>
    <x v="1"/>
    <x v="2"/>
    <x v="0"/>
    <x v="6"/>
    <x v="13"/>
    <x v="11"/>
    <x v="0"/>
    <x v="0"/>
    <x v="5"/>
    <x v="285"/>
    <x v="4"/>
    <x v="1"/>
    <x v="128"/>
  </r>
  <r>
    <x v="120"/>
    <x v="0"/>
    <x v="1"/>
    <x v="0"/>
    <x v="4"/>
    <x v="13"/>
    <x v="10"/>
    <x v="0"/>
    <x v="1"/>
    <x v="7"/>
    <x v="126"/>
    <x v="8"/>
    <x v="6"/>
    <x v="46"/>
  </r>
  <r>
    <x v="121"/>
    <x v="0"/>
    <x v="0"/>
    <x v="0"/>
    <x v="10"/>
    <x v="12"/>
    <x v="7"/>
    <x v="2"/>
    <x v="1"/>
    <x v="14"/>
    <x v="177"/>
    <x v="4"/>
    <x v="0"/>
    <x v="232"/>
  </r>
  <r>
    <x v="122"/>
    <x v="3"/>
    <x v="2"/>
    <x v="0"/>
    <x v="12"/>
    <x v="7"/>
    <x v="1"/>
    <x v="1"/>
    <x v="1"/>
    <x v="7"/>
    <x v="12"/>
    <x v="0"/>
    <x v="0"/>
    <x v="103"/>
  </r>
  <r>
    <x v="123"/>
    <x v="1"/>
    <x v="2"/>
    <x v="0"/>
    <x v="13"/>
    <x v="11"/>
    <x v="3"/>
    <x v="1"/>
    <x v="2"/>
    <x v="6"/>
    <x v="286"/>
    <x v="1"/>
    <x v="7"/>
    <x v="192"/>
  </r>
  <r>
    <x v="124"/>
    <x v="3"/>
    <x v="2"/>
    <x v="0"/>
    <x v="6"/>
    <x v="13"/>
    <x v="11"/>
    <x v="0"/>
    <x v="1"/>
    <x v="14"/>
    <x v="81"/>
    <x v="2"/>
    <x v="6"/>
    <x v="57"/>
  </r>
  <r>
    <x v="125"/>
    <x v="2"/>
    <x v="2"/>
    <x v="0"/>
    <x v="12"/>
    <x v="7"/>
    <x v="1"/>
    <x v="1"/>
    <x v="0"/>
    <x v="16"/>
    <x v="273"/>
    <x v="1"/>
    <x v="0"/>
    <x v="218"/>
  </r>
  <r>
    <x v="126"/>
    <x v="2"/>
    <x v="0"/>
    <x v="0"/>
    <x v="14"/>
    <x v="10"/>
    <x v="14"/>
    <x v="3"/>
    <x v="0"/>
    <x v="5"/>
    <x v="202"/>
    <x v="7"/>
    <x v="0"/>
    <x v="196"/>
  </r>
  <r>
    <x v="127"/>
    <x v="2"/>
    <x v="2"/>
    <x v="0"/>
    <x v="5"/>
    <x v="1"/>
    <x v="12"/>
    <x v="3"/>
    <x v="0"/>
    <x v="4"/>
    <x v="245"/>
    <x v="5"/>
    <x v="0"/>
    <x v="147"/>
  </r>
  <r>
    <x v="128"/>
    <x v="0"/>
    <x v="2"/>
    <x v="0"/>
    <x v="15"/>
    <x v="14"/>
    <x v="15"/>
    <x v="3"/>
    <x v="1"/>
    <x v="3"/>
    <x v="95"/>
    <x v="8"/>
    <x v="1"/>
    <x v="148"/>
  </r>
  <r>
    <x v="129"/>
    <x v="1"/>
    <x v="0"/>
    <x v="0"/>
    <x v="2"/>
    <x v="9"/>
    <x v="4"/>
    <x v="2"/>
    <x v="0"/>
    <x v="9"/>
    <x v="262"/>
    <x v="1"/>
    <x v="3"/>
    <x v="80"/>
  </r>
  <r>
    <x v="130"/>
    <x v="1"/>
    <x v="0"/>
    <x v="0"/>
    <x v="15"/>
    <x v="14"/>
    <x v="15"/>
    <x v="3"/>
    <x v="1"/>
    <x v="12"/>
    <x v="93"/>
    <x v="8"/>
    <x v="1"/>
    <x v="183"/>
  </r>
  <r>
    <x v="131"/>
    <x v="1"/>
    <x v="0"/>
    <x v="0"/>
    <x v="7"/>
    <x v="0"/>
    <x v="13"/>
    <x v="3"/>
    <x v="1"/>
    <x v="8"/>
    <x v="53"/>
    <x v="4"/>
    <x v="0"/>
    <x v="157"/>
  </r>
  <r>
    <x v="132"/>
    <x v="0"/>
    <x v="1"/>
    <x v="0"/>
    <x v="13"/>
    <x v="11"/>
    <x v="3"/>
    <x v="1"/>
    <x v="2"/>
    <x v="11"/>
    <x v="49"/>
    <x v="0"/>
    <x v="6"/>
    <x v="72"/>
  </r>
  <r>
    <x v="133"/>
    <x v="0"/>
    <x v="2"/>
    <x v="0"/>
    <x v="11"/>
    <x v="8"/>
    <x v="2"/>
    <x v="1"/>
    <x v="1"/>
    <x v="10"/>
    <x v="102"/>
    <x v="6"/>
    <x v="0"/>
    <x v="195"/>
  </r>
  <r>
    <x v="134"/>
    <x v="2"/>
    <x v="1"/>
    <x v="0"/>
    <x v="3"/>
    <x v="4"/>
    <x v="9"/>
    <x v="0"/>
    <x v="1"/>
    <x v="14"/>
    <x v="113"/>
    <x v="5"/>
    <x v="3"/>
    <x v="139"/>
  </r>
  <r>
    <x v="135"/>
    <x v="3"/>
    <x v="1"/>
    <x v="0"/>
    <x v="4"/>
    <x v="13"/>
    <x v="10"/>
    <x v="0"/>
    <x v="2"/>
    <x v="13"/>
    <x v="233"/>
    <x v="3"/>
    <x v="2"/>
    <x v="233"/>
  </r>
  <r>
    <x v="136"/>
    <x v="0"/>
    <x v="0"/>
    <x v="0"/>
    <x v="7"/>
    <x v="0"/>
    <x v="13"/>
    <x v="3"/>
    <x v="0"/>
    <x v="9"/>
    <x v="103"/>
    <x v="6"/>
    <x v="0"/>
    <x v="134"/>
  </r>
  <r>
    <x v="137"/>
    <x v="2"/>
    <x v="2"/>
    <x v="0"/>
    <x v="9"/>
    <x v="6"/>
    <x v="8"/>
    <x v="0"/>
    <x v="0"/>
    <x v="9"/>
    <x v="192"/>
    <x v="6"/>
    <x v="6"/>
    <x v="27"/>
  </r>
  <r>
    <x v="138"/>
    <x v="3"/>
    <x v="2"/>
    <x v="0"/>
    <x v="10"/>
    <x v="12"/>
    <x v="7"/>
    <x v="2"/>
    <x v="0"/>
    <x v="5"/>
    <x v="186"/>
    <x v="8"/>
    <x v="0"/>
    <x v="195"/>
  </r>
  <r>
    <x v="139"/>
    <x v="2"/>
    <x v="2"/>
    <x v="0"/>
    <x v="14"/>
    <x v="10"/>
    <x v="14"/>
    <x v="3"/>
    <x v="0"/>
    <x v="9"/>
    <x v="223"/>
    <x v="7"/>
    <x v="5"/>
    <x v="18"/>
  </r>
  <r>
    <x v="140"/>
    <x v="3"/>
    <x v="2"/>
    <x v="0"/>
    <x v="10"/>
    <x v="12"/>
    <x v="7"/>
    <x v="2"/>
    <x v="2"/>
    <x v="11"/>
    <x v="85"/>
    <x v="3"/>
    <x v="0"/>
    <x v="144"/>
  </r>
  <r>
    <x v="141"/>
    <x v="2"/>
    <x v="0"/>
    <x v="0"/>
    <x v="11"/>
    <x v="8"/>
    <x v="2"/>
    <x v="1"/>
    <x v="1"/>
    <x v="14"/>
    <x v="191"/>
    <x v="8"/>
    <x v="0"/>
    <x v="247"/>
  </r>
  <r>
    <x v="142"/>
    <x v="0"/>
    <x v="2"/>
    <x v="0"/>
    <x v="3"/>
    <x v="4"/>
    <x v="9"/>
    <x v="0"/>
    <x v="1"/>
    <x v="12"/>
    <x v="279"/>
    <x v="4"/>
    <x v="1"/>
    <x v="284"/>
  </r>
  <r>
    <x v="143"/>
    <x v="2"/>
    <x v="0"/>
    <x v="0"/>
    <x v="3"/>
    <x v="4"/>
    <x v="9"/>
    <x v="0"/>
    <x v="0"/>
    <x v="9"/>
    <x v="209"/>
    <x v="7"/>
    <x v="4"/>
    <x v="23"/>
  </r>
  <r>
    <x v="144"/>
    <x v="2"/>
    <x v="1"/>
    <x v="0"/>
    <x v="14"/>
    <x v="10"/>
    <x v="14"/>
    <x v="3"/>
    <x v="2"/>
    <x v="13"/>
    <x v="155"/>
    <x v="0"/>
    <x v="5"/>
    <x v="167"/>
  </r>
  <r>
    <x v="145"/>
    <x v="3"/>
    <x v="2"/>
    <x v="0"/>
    <x v="15"/>
    <x v="14"/>
    <x v="15"/>
    <x v="3"/>
    <x v="2"/>
    <x v="11"/>
    <x v="35"/>
    <x v="4"/>
    <x v="1"/>
    <x v="146"/>
  </r>
  <r>
    <x v="146"/>
    <x v="0"/>
    <x v="0"/>
    <x v="0"/>
    <x v="2"/>
    <x v="9"/>
    <x v="4"/>
    <x v="2"/>
    <x v="2"/>
    <x v="13"/>
    <x v="9"/>
    <x v="0"/>
    <x v="3"/>
    <x v="101"/>
  </r>
  <r>
    <x v="147"/>
    <x v="3"/>
    <x v="1"/>
    <x v="0"/>
    <x v="0"/>
    <x v="3"/>
    <x v="5"/>
    <x v="2"/>
    <x v="1"/>
    <x v="8"/>
    <x v="99"/>
    <x v="8"/>
    <x v="5"/>
    <x v="108"/>
  </r>
  <r>
    <x v="148"/>
    <x v="2"/>
    <x v="1"/>
    <x v="0"/>
    <x v="3"/>
    <x v="4"/>
    <x v="9"/>
    <x v="0"/>
    <x v="0"/>
    <x v="5"/>
    <x v="216"/>
    <x v="4"/>
    <x v="1"/>
    <x v="185"/>
  </r>
  <r>
    <x v="149"/>
    <x v="2"/>
    <x v="2"/>
    <x v="0"/>
    <x v="5"/>
    <x v="1"/>
    <x v="12"/>
    <x v="3"/>
    <x v="2"/>
    <x v="6"/>
    <x v="296"/>
    <x v="7"/>
    <x v="7"/>
    <x v="273"/>
  </r>
  <r>
    <x v="150"/>
    <x v="3"/>
    <x v="1"/>
    <x v="0"/>
    <x v="13"/>
    <x v="11"/>
    <x v="3"/>
    <x v="1"/>
    <x v="1"/>
    <x v="2"/>
    <x v="28"/>
    <x v="4"/>
    <x v="1"/>
    <x v="107"/>
  </r>
  <r>
    <x v="151"/>
    <x v="0"/>
    <x v="1"/>
    <x v="0"/>
    <x v="8"/>
    <x v="2"/>
    <x v="6"/>
    <x v="2"/>
    <x v="1"/>
    <x v="2"/>
    <x v="79"/>
    <x v="3"/>
    <x v="4"/>
    <x v="83"/>
  </r>
  <r>
    <x v="152"/>
    <x v="3"/>
    <x v="0"/>
    <x v="0"/>
    <x v="11"/>
    <x v="8"/>
    <x v="2"/>
    <x v="1"/>
    <x v="2"/>
    <x v="11"/>
    <x v="289"/>
    <x v="5"/>
    <x v="1"/>
    <x v="287"/>
  </r>
  <r>
    <x v="153"/>
    <x v="3"/>
    <x v="1"/>
    <x v="0"/>
    <x v="13"/>
    <x v="11"/>
    <x v="3"/>
    <x v="1"/>
    <x v="2"/>
    <x v="11"/>
    <x v="18"/>
    <x v="4"/>
    <x v="3"/>
    <x v="105"/>
  </r>
  <r>
    <x v="154"/>
    <x v="2"/>
    <x v="0"/>
    <x v="0"/>
    <x v="6"/>
    <x v="13"/>
    <x v="11"/>
    <x v="0"/>
    <x v="1"/>
    <x v="15"/>
    <x v="59"/>
    <x v="6"/>
    <x v="4"/>
    <x v="116"/>
  </r>
  <r>
    <x v="155"/>
    <x v="3"/>
    <x v="1"/>
    <x v="0"/>
    <x v="0"/>
    <x v="3"/>
    <x v="5"/>
    <x v="2"/>
    <x v="1"/>
    <x v="14"/>
    <x v="73"/>
    <x v="2"/>
    <x v="6"/>
    <x v="54"/>
  </r>
  <r>
    <x v="156"/>
    <x v="3"/>
    <x v="2"/>
    <x v="0"/>
    <x v="3"/>
    <x v="4"/>
    <x v="9"/>
    <x v="0"/>
    <x v="1"/>
    <x v="10"/>
    <x v="98"/>
    <x v="5"/>
    <x v="0"/>
    <x v="193"/>
  </r>
  <r>
    <x v="157"/>
    <x v="1"/>
    <x v="2"/>
    <x v="0"/>
    <x v="2"/>
    <x v="9"/>
    <x v="4"/>
    <x v="2"/>
    <x v="2"/>
    <x v="0"/>
    <x v="22"/>
    <x v="5"/>
    <x v="3"/>
    <x v="140"/>
  </r>
  <r>
    <x v="158"/>
    <x v="3"/>
    <x v="0"/>
    <x v="0"/>
    <x v="11"/>
    <x v="8"/>
    <x v="2"/>
    <x v="1"/>
    <x v="1"/>
    <x v="2"/>
    <x v="153"/>
    <x v="8"/>
    <x v="0"/>
    <x v="223"/>
  </r>
  <r>
    <x v="159"/>
    <x v="2"/>
    <x v="2"/>
    <x v="0"/>
    <x v="0"/>
    <x v="3"/>
    <x v="5"/>
    <x v="2"/>
    <x v="0"/>
    <x v="4"/>
    <x v="287"/>
    <x v="0"/>
    <x v="7"/>
    <x v="2"/>
  </r>
  <r>
    <x v="160"/>
    <x v="2"/>
    <x v="1"/>
    <x v="0"/>
    <x v="12"/>
    <x v="7"/>
    <x v="1"/>
    <x v="1"/>
    <x v="0"/>
    <x v="16"/>
    <x v="246"/>
    <x v="2"/>
    <x v="3"/>
    <x v="20"/>
  </r>
  <r>
    <x v="161"/>
    <x v="3"/>
    <x v="0"/>
    <x v="0"/>
    <x v="6"/>
    <x v="13"/>
    <x v="11"/>
    <x v="0"/>
    <x v="0"/>
    <x v="16"/>
    <x v="179"/>
    <x v="5"/>
    <x v="0"/>
    <x v="89"/>
  </r>
  <r>
    <x v="162"/>
    <x v="2"/>
    <x v="0"/>
    <x v="0"/>
    <x v="11"/>
    <x v="8"/>
    <x v="2"/>
    <x v="1"/>
    <x v="0"/>
    <x v="4"/>
    <x v="116"/>
    <x v="7"/>
    <x v="2"/>
    <x v="42"/>
  </r>
  <r>
    <x v="163"/>
    <x v="2"/>
    <x v="1"/>
    <x v="0"/>
    <x v="15"/>
    <x v="14"/>
    <x v="15"/>
    <x v="3"/>
    <x v="1"/>
    <x v="3"/>
    <x v="137"/>
    <x v="2"/>
    <x v="6"/>
    <x v="50"/>
  </r>
  <r>
    <x v="164"/>
    <x v="0"/>
    <x v="2"/>
    <x v="0"/>
    <x v="14"/>
    <x v="10"/>
    <x v="14"/>
    <x v="3"/>
    <x v="1"/>
    <x v="1"/>
    <x v="260"/>
    <x v="2"/>
    <x v="3"/>
    <x v="228"/>
  </r>
  <r>
    <x v="165"/>
    <x v="0"/>
    <x v="0"/>
    <x v="0"/>
    <x v="6"/>
    <x v="13"/>
    <x v="11"/>
    <x v="0"/>
    <x v="1"/>
    <x v="3"/>
    <x v="3"/>
    <x v="5"/>
    <x v="0"/>
    <x v="96"/>
  </r>
  <r>
    <x v="166"/>
    <x v="1"/>
    <x v="2"/>
    <x v="0"/>
    <x v="9"/>
    <x v="6"/>
    <x v="8"/>
    <x v="0"/>
    <x v="2"/>
    <x v="0"/>
    <x v="193"/>
    <x v="5"/>
    <x v="3"/>
    <x v="253"/>
  </r>
  <r>
    <x v="167"/>
    <x v="3"/>
    <x v="2"/>
    <x v="0"/>
    <x v="4"/>
    <x v="13"/>
    <x v="10"/>
    <x v="0"/>
    <x v="2"/>
    <x v="6"/>
    <x v="291"/>
    <x v="8"/>
    <x v="3"/>
    <x v="4"/>
  </r>
  <r>
    <x v="168"/>
    <x v="0"/>
    <x v="0"/>
    <x v="0"/>
    <x v="5"/>
    <x v="1"/>
    <x v="12"/>
    <x v="3"/>
    <x v="1"/>
    <x v="3"/>
    <x v="189"/>
    <x v="7"/>
    <x v="5"/>
    <x v="181"/>
  </r>
  <r>
    <x v="169"/>
    <x v="1"/>
    <x v="1"/>
    <x v="0"/>
    <x v="6"/>
    <x v="13"/>
    <x v="11"/>
    <x v="0"/>
    <x v="0"/>
    <x v="16"/>
    <x v="272"/>
    <x v="1"/>
    <x v="0"/>
    <x v="120"/>
  </r>
  <r>
    <x v="170"/>
    <x v="3"/>
    <x v="0"/>
    <x v="0"/>
    <x v="11"/>
    <x v="8"/>
    <x v="2"/>
    <x v="1"/>
    <x v="1"/>
    <x v="15"/>
    <x v="135"/>
    <x v="8"/>
    <x v="4"/>
    <x v="129"/>
  </r>
  <r>
    <x v="171"/>
    <x v="1"/>
    <x v="2"/>
    <x v="0"/>
    <x v="10"/>
    <x v="12"/>
    <x v="7"/>
    <x v="2"/>
    <x v="2"/>
    <x v="13"/>
    <x v="62"/>
    <x v="3"/>
    <x v="3"/>
    <x v="133"/>
  </r>
  <r>
    <x v="172"/>
    <x v="0"/>
    <x v="2"/>
    <x v="0"/>
    <x v="13"/>
    <x v="11"/>
    <x v="3"/>
    <x v="1"/>
    <x v="0"/>
    <x v="4"/>
    <x v="265"/>
    <x v="0"/>
    <x v="3"/>
    <x v="19"/>
  </r>
  <r>
    <x v="173"/>
    <x v="0"/>
    <x v="1"/>
    <x v="0"/>
    <x v="7"/>
    <x v="0"/>
    <x v="13"/>
    <x v="3"/>
    <x v="0"/>
    <x v="5"/>
    <x v="271"/>
    <x v="5"/>
    <x v="4"/>
    <x v="44"/>
  </r>
  <r>
    <x v="174"/>
    <x v="2"/>
    <x v="1"/>
    <x v="0"/>
    <x v="9"/>
    <x v="6"/>
    <x v="8"/>
    <x v="0"/>
    <x v="0"/>
    <x v="4"/>
    <x v="138"/>
    <x v="0"/>
    <x v="6"/>
    <x v="13"/>
  </r>
  <r>
    <x v="175"/>
    <x v="0"/>
    <x v="2"/>
    <x v="0"/>
    <x v="1"/>
    <x v="5"/>
    <x v="0"/>
    <x v="1"/>
    <x v="2"/>
    <x v="11"/>
    <x v="146"/>
    <x v="1"/>
    <x v="0"/>
    <x v="236"/>
  </r>
  <r>
    <x v="176"/>
    <x v="2"/>
    <x v="1"/>
    <x v="0"/>
    <x v="10"/>
    <x v="12"/>
    <x v="7"/>
    <x v="2"/>
    <x v="0"/>
    <x v="9"/>
    <x v="283"/>
    <x v="5"/>
    <x v="0"/>
    <x v="244"/>
  </r>
  <r>
    <x v="177"/>
    <x v="1"/>
    <x v="1"/>
    <x v="0"/>
    <x v="2"/>
    <x v="9"/>
    <x v="4"/>
    <x v="2"/>
    <x v="0"/>
    <x v="5"/>
    <x v="284"/>
    <x v="7"/>
    <x v="0"/>
    <x v="259"/>
  </r>
  <r>
    <x v="178"/>
    <x v="2"/>
    <x v="0"/>
    <x v="0"/>
    <x v="5"/>
    <x v="1"/>
    <x v="12"/>
    <x v="3"/>
    <x v="1"/>
    <x v="3"/>
    <x v="8"/>
    <x v="7"/>
    <x v="5"/>
    <x v="70"/>
  </r>
  <r>
    <x v="179"/>
    <x v="0"/>
    <x v="1"/>
    <x v="0"/>
    <x v="5"/>
    <x v="1"/>
    <x v="12"/>
    <x v="3"/>
    <x v="1"/>
    <x v="1"/>
    <x v="228"/>
    <x v="3"/>
    <x v="2"/>
    <x v="234"/>
  </r>
  <r>
    <x v="180"/>
    <x v="3"/>
    <x v="0"/>
    <x v="0"/>
    <x v="14"/>
    <x v="10"/>
    <x v="14"/>
    <x v="3"/>
    <x v="1"/>
    <x v="10"/>
    <x v="6"/>
    <x v="8"/>
    <x v="3"/>
    <x v="87"/>
  </r>
  <r>
    <x v="181"/>
    <x v="3"/>
    <x v="1"/>
    <x v="0"/>
    <x v="14"/>
    <x v="10"/>
    <x v="14"/>
    <x v="3"/>
    <x v="0"/>
    <x v="9"/>
    <x v="61"/>
    <x v="0"/>
    <x v="2"/>
    <x v="88"/>
  </r>
  <r>
    <x v="182"/>
    <x v="1"/>
    <x v="1"/>
    <x v="0"/>
    <x v="12"/>
    <x v="7"/>
    <x v="1"/>
    <x v="1"/>
    <x v="2"/>
    <x v="0"/>
    <x v="221"/>
    <x v="0"/>
    <x v="0"/>
    <x v="269"/>
  </r>
  <r>
    <x v="183"/>
    <x v="0"/>
    <x v="2"/>
    <x v="0"/>
    <x v="5"/>
    <x v="1"/>
    <x v="12"/>
    <x v="3"/>
    <x v="2"/>
    <x v="13"/>
    <x v="237"/>
    <x v="2"/>
    <x v="3"/>
    <x v="254"/>
  </r>
  <r>
    <x v="184"/>
    <x v="0"/>
    <x v="1"/>
    <x v="0"/>
    <x v="6"/>
    <x v="13"/>
    <x v="11"/>
    <x v="0"/>
    <x v="2"/>
    <x v="11"/>
    <x v="119"/>
    <x v="7"/>
    <x v="0"/>
    <x v="219"/>
  </r>
  <r>
    <x v="185"/>
    <x v="2"/>
    <x v="2"/>
    <x v="0"/>
    <x v="1"/>
    <x v="5"/>
    <x v="0"/>
    <x v="1"/>
    <x v="2"/>
    <x v="6"/>
    <x v="65"/>
    <x v="1"/>
    <x v="7"/>
    <x v="98"/>
  </r>
  <r>
    <x v="186"/>
    <x v="3"/>
    <x v="0"/>
    <x v="0"/>
    <x v="7"/>
    <x v="0"/>
    <x v="13"/>
    <x v="3"/>
    <x v="1"/>
    <x v="10"/>
    <x v="1"/>
    <x v="0"/>
    <x v="0"/>
    <x v="90"/>
  </r>
  <r>
    <x v="187"/>
    <x v="2"/>
    <x v="1"/>
    <x v="0"/>
    <x v="4"/>
    <x v="13"/>
    <x v="10"/>
    <x v="0"/>
    <x v="2"/>
    <x v="0"/>
    <x v="207"/>
    <x v="3"/>
    <x v="1"/>
    <x v="261"/>
  </r>
  <r>
    <x v="188"/>
    <x v="2"/>
    <x v="0"/>
    <x v="0"/>
    <x v="4"/>
    <x v="13"/>
    <x v="10"/>
    <x v="0"/>
    <x v="1"/>
    <x v="3"/>
    <x v="117"/>
    <x v="6"/>
    <x v="0"/>
    <x v="182"/>
  </r>
  <r>
    <x v="189"/>
    <x v="0"/>
    <x v="2"/>
    <x v="0"/>
    <x v="14"/>
    <x v="10"/>
    <x v="14"/>
    <x v="3"/>
    <x v="1"/>
    <x v="10"/>
    <x v="0"/>
    <x v="7"/>
    <x v="0"/>
    <x v="91"/>
  </r>
  <r>
    <x v="190"/>
    <x v="1"/>
    <x v="1"/>
    <x v="0"/>
    <x v="15"/>
    <x v="14"/>
    <x v="15"/>
    <x v="3"/>
    <x v="1"/>
    <x v="10"/>
    <x v="89"/>
    <x v="5"/>
    <x v="0"/>
    <x v="203"/>
  </r>
  <r>
    <x v="191"/>
    <x v="3"/>
    <x v="2"/>
    <x v="0"/>
    <x v="15"/>
    <x v="14"/>
    <x v="15"/>
    <x v="3"/>
    <x v="2"/>
    <x v="0"/>
    <x v="37"/>
    <x v="7"/>
    <x v="1"/>
    <x v="162"/>
  </r>
  <r>
    <x v="192"/>
    <x v="3"/>
    <x v="2"/>
    <x v="0"/>
    <x v="13"/>
    <x v="11"/>
    <x v="3"/>
    <x v="1"/>
    <x v="0"/>
    <x v="16"/>
    <x v="111"/>
    <x v="4"/>
    <x v="3"/>
    <x v="32"/>
  </r>
  <r>
    <x v="193"/>
    <x v="3"/>
    <x v="1"/>
    <x v="0"/>
    <x v="1"/>
    <x v="5"/>
    <x v="0"/>
    <x v="1"/>
    <x v="1"/>
    <x v="7"/>
    <x v="69"/>
    <x v="8"/>
    <x v="0"/>
    <x v="152"/>
  </r>
  <r>
    <x v="194"/>
    <x v="3"/>
    <x v="1"/>
    <x v="0"/>
    <x v="1"/>
    <x v="5"/>
    <x v="0"/>
    <x v="1"/>
    <x v="0"/>
    <x v="4"/>
    <x v="247"/>
    <x v="3"/>
    <x v="0"/>
    <x v="114"/>
  </r>
  <r>
    <x v="195"/>
    <x v="3"/>
    <x v="1"/>
    <x v="0"/>
    <x v="6"/>
    <x v="13"/>
    <x v="11"/>
    <x v="0"/>
    <x v="0"/>
    <x v="5"/>
    <x v="181"/>
    <x v="6"/>
    <x v="1"/>
    <x v="156"/>
  </r>
  <r>
    <x v="196"/>
    <x v="0"/>
    <x v="1"/>
    <x v="0"/>
    <x v="8"/>
    <x v="2"/>
    <x v="6"/>
    <x v="2"/>
    <x v="2"/>
    <x v="6"/>
    <x v="251"/>
    <x v="2"/>
    <x v="0"/>
    <x v="277"/>
  </r>
  <r>
    <x v="197"/>
    <x v="2"/>
    <x v="0"/>
    <x v="0"/>
    <x v="13"/>
    <x v="11"/>
    <x v="3"/>
    <x v="1"/>
    <x v="2"/>
    <x v="0"/>
    <x v="25"/>
    <x v="7"/>
    <x v="3"/>
    <x v="132"/>
  </r>
  <r>
    <x v="198"/>
    <x v="0"/>
    <x v="1"/>
    <x v="0"/>
    <x v="1"/>
    <x v="5"/>
    <x v="0"/>
    <x v="1"/>
    <x v="2"/>
    <x v="0"/>
    <x v="174"/>
    <x v="3"/>
    <x v="0"/>
    <x v="257"/>
  </r>
  <r>
    <x v="199"/>
    <x v="3"/>
    <x v="2"/>
    <x v="0"/>
    <x v="9"/>
    <x v="6"/>
    <x v="8"/>
    <x v="0"/>
    <x v="2"/>
    <x v="6"/>
    <x v="175"/>
    <x v="7"/>
    <x v="3"/>
    <x v="248"/>
  </r>
  <r>
    <x v="200"/>
    <x v="3"/>
    <x v="2"/>
    <x v="0"/>
    <x v="14"/>
    <x v="10"/>
    <x v="14"/>
    <x v="3"/>
    <x v="0"/>
    <x v="9"/>
    <x v="45"/>
    <x v="5"/>
    <x v="2"/>
    <x v="66"/>
  </r>
  <r>
    <x v="201"/>
    <x v="2"/>
    <x v="1"/>
    <x v="0"/>
    <x v="2"/>
    <x v="9"/>
    <x v="4"/>
    <x v="2"/>
    <x v="1"/>
    <x v="10"/>
    <x v="23"/>
    <x v="0"/>
    <x v="0"/>
    <x v="142"/>
  </r>
  <r>
    <x v="202"/>
    <x v="3"/>
    <x v="0"/>
    <x v="0"/>
    <x v="8"/>
    <x v="2"/>
    <x v="6"/>
    <x v="2"/>
    <x v="2"/>
    <x v="11"/>
    <x v="152"/>
    <x v="0"/>
    <x v="4"/>
    <x v="188"/>
  </r>
  <r>
    <x v="203"/>
    <x v="0"/>
    <x v="0"/>
    <x v="0"/>
    <x v="6"/>
    <x v="13"/>
    <x v="11"/>
    <x v="0"/>
    <x v="2"/>
    <x v="11"/>
    <x v="293"/>
    <x v="3"/>
    <x v="1"/>
    <x v="288"/>
  </r>
  <r>
    <x v="204"/>
    <x v="3"/>
    <x v="1"/>
    <x v="0"/>
    <x v="0"/>
    <x v="3"/>
    <x v="5"/>
    <x v="2"/>
    <x v="0"/>
    <x v="5"/>
    <x v="225"/>
    <x v="3"/>
    <x v="2"/>
    <x v="77"/>
  </r>
  <r>
    <x v="205"/>
    <x v="1"/>
    <x v="1"/>
    <x v="0"/>
    <x v="0"/>
    <x v="3"/>
    <x v="5"/>
    <x v="2"/>
    <x v="0"/>
    <x v="4"/>
    <x v="161"/>
    <x v="0"/>
    <x v="1"/>
    <x v="47"/>
  </r>
  <r>
    <x v="206"/>
    <x v="3"/>
    <x v="2"/>
    <x v="0"/>
    <x v="4"/>
    <x v="13"/>
    <x v="10"/>
    <x v="0"/>
    <x v="0"/>
    <x v="4"/>
    <x v="30"/>
    <x v="5"/>
    <x v="7"/>
    <x v="55"/>
  </r>
  <r>
    <x v="207"/>
    <x v="3"/>
    <x v="0"/>
    <x v="0"/>
    <x v="7"/>
    <x v="0"/>
    <x v="13"/>
    <x v="3"/>
    <x v="2"/>
    <x v="6"/>
    <x v="219"/>
    <x v="0"/>
    <x v="0"/>
    <x v="264"/>
  </r>
  <r>
    <x v="208"/>
    <x v="1"/>
    <x v="2"/>
    <x v="0"/>
    <x v="0"/>
    <x v="3"/>
    <x v="5"/>
    <x v="2"/>
    <x v="0"/>
    <x v="9"/>
    <x v="36"/>
    <x v="8"/>
    <x v="2"/>
    <x v="75"/>
  </r>
  <r>
    <x v="209"/>
    <x v="0"/>
    <x v="0"/>
    <x v="0"/>
    <x v="4"/>
    <x v="13"/>
    <x v="10"/>
    <x v="0"/>
    <x v="1"/>
    <x v="12"/>
    <x v="70"/>
    <x v="4"/>
    <x v="3"/>
    <x v="172"/>
  </r>
  <r>
    <x v="210"/>
    <x v="2"/>
    <x v="2"/>
    <x v="0"/>
    <x v="13"/>
    <x v="11"/>
    <x v="3"/>
    <x v="1"/>
    <x v="0"/>
    <x v="9"/>
    <x v="76"/>
    <x v="6"/>
    <x v="1"/>
    <x v="104"/>
  </r>
  <r>
    <x v="211"/>
    <x v="0"/>
    <x v="2"/>
    <x v="0"/>
    <x v="6"/>
    <x v="13"/>
    <x v="11"/>
    <x v="0"/>
    <x v="2"/>
    <x v="11"/>
    <x v="55"/>
    <x v="3"/>
    <x v="0"/>
    <x v="165"/>
  </r>
  <r>
    <x v="212"/>
    <x v="3"/>
    <x v="1"/>
    <x v="0"/>
    <x v="6"/>
    <x v="13"/>
    <x v="11"/>
    <x v="0"/>
    <x v="1"/>
    <x v="2"/>
    <x v="190"/>
    <x v="0"/>
    <x v="0"/>
    <x v="238"/>
  </r>
  <r>
    <x v="213"/>
    <x v="0"/>
    <x v="0"/>
    <x v="0"/>
    <x v="15"/>
    <x v="14"/>
    <x v="15"/>
    <x v="3"/>
    <x v="0"/>
    <x v="16"/>
    <x v="63"/>
    <x v="1"/>
    <x v="1"/>
    <x v="61"/>
  </r>
  <r>
    <x v="214"/>
    <x v="1"/>
    <x v="1"/>
    <x v="0"/>
    <x v="5"/>
    <x v="1"/>
    <x v="12"/>
    <x v="3"/>
    <x v="1"/>
    <x v="14"/>
    <x v="123"/>
    <x v="0"/>
    <x v="0"/>
    <x v="186"/>
  </r>
  <r>
    <x v="215"/>
    <x v="0"/>
    <x v="0"/>
    <x v="0"/>
    <x v="5"/>
    <x v="1"/>
    <x v="12"/>
    <x v="3"/>
    <x v="0"/>
    <x v="16"/>
    <x v="48"/>
    <x v="4"/>
    <x v="3"/>
    <x v="48"/>
  </r>
  <r>
    <x v="216"/>
    <x v="2"/>
    <x v="1"/>
    <x v="0"/>
    <x v="9"/>
    <x v="6"/>
    <x v="8"/>
    <x v="0"/>
    <x v="2"/>
    <x v="13"/>
    <x v="141"/>
    <x v="7"/>
    <x v="7"/>
    <x v="36"/>
  </r>
  <r>
    <x v="217"/>
    <x v="0"/>
    <x v="1"/>
    <x v="0"/>
    <x v="4"/>
    <x v="13"/>
    <x v="10"/>
    <x v="0"/>
    <x v="2"/>
    <x v="6"/>
    <x v="258"/>
    <x v="5"/>
    <x v="3"/>
    <x v="278"/>
  </r>
  <r>
    <x v="218"/>
    <x v="3"/>
    <x v="1"/>
    <x v="0"/>
    <x v="6"/>
    <x v="13"/>
    <x v="11"/>
    <x v="0"/>
    <x v="0"/>
    <x v="16"/>
    <x v="278"/>
    <x v="0"/>
    <x v="1"/>
    <x v="11"/>
  </r>
  <r>
    <x v="219"/>
    <x v="1"/>
    <x v="2"/>
    <x v="0"/>
    <x v="12"/>
    <x v="7"/>
    <x v="1"/>
    <x v="1"/>
    <x v="0"/>
    <x v="4"/>
    <x v="39"/>
    <x v="8"/>
    <x v="3"/>
    <x v="57"/>
  </r>
  <r>
    <x v="220"/>
    <x v="0"/>
    <x v="2"/>
    <x v="0"/>
    <x v="2"/>
    <x v="9"/>
    <x v="4"/>
    <x v="2"/>
    <x v="0"/>
    <x v="4"/>
    <x v="42"/>
    <x v="2"/>
    <x v="4"/>
    <x v="41"/>
  </r>
  <r>
    <x v="221"/>
    <x v="0"/>
    <x v="0"/>
    <x v="0"/>
    <x v="15"/>
    <x v="14"/>
    <x v="15"/>
    <x v="3"/>
    <x v="1"/>
    <x v="12"/>
    <x v="33"/>
    <x v="4"/>
    <x v="5"/>
    <x v="106"/>
  </r>
  <r>
    <x v="222"/>
    <x v="3"/>
    <x v="1"/>
    <x v="0"/>
    <x v="3"/>
    <x v="4"/>
    <x v="9"/>
    <x v="0"/>
    <x v="1"/>
    <x v="2"/>
    <x v="109"/>
    <x v="8"/>
    <x v="3"/>
    <x v="175"/>
  </r>
  <r>
    <x v="223"/>
    <x v="0"/>
    <x v="2"/>
    <x v="0"/>
    <x v="14"/>
    <x v="10"/>
    <x v="14"/>
    <x v="3"/>
    <x v="0"/>
    <x v="9"/>
    <x v="290"/>
    <x v="8"/>
    <x v="3"/>
    <x v="239"/>
  </r>
  <r>
    <x v="224"/>
    <x v="1"/>
    <x v="2"/>
    <x v="0"/>
    <x v="6"/>
    <x v="13"/>
    <x v="11"/>
    <x v="0"/>
    <x v="0"/>
    <x v="16"/>
    <x v="238"/>
    <x v="3"/>
    <x v="0"/>
    <x v="34"/>
  </r>
  <r>
    <x v="225"/>
    <x v="1"/>
    <x v="2"/>
    <x v="0"/>
    <x v="15"/>
    <x v="14"/>
    <x v="15"/>
    <x v="3"/>
    <x v="2"/>
    <x v="0"/>
    <x v="252"/>
    <x v="5"/>
    <x v="0"/>
    <x v="281"/>
  </r>
  <r>
    <x v="226"/>
    <x v="0"/>
    <x v="2"/>
    <x v="0"/>
    <x v="6"/>
    <x v="13"/>
    <x v="11"/>
    <x v="0"/>
    <x v="2"/>
    <x v="11"/>
    <x v="136"/>
    <x v="7"/>
    <x v="0"/>
    <x v="214"/>
  </r>
  <r>
    <x v="227"/>
    <x v="1"/>
    <x v="2"/>
    <x v="0"/>
    <x v="0"/>
    <x v="3"/>
    <x v="5"/>
    <x v="2"/>
    <x v="1"/>
    <x v="2"/>
    <x v="144"/>
    <x v="1"/>
    <x v="6"/>
    <x v="64"/>
  </r>
  <r>
    <x v="228"/>
    <x v="1"/>
    <x v="0"/>
    <x v="0"/>
    <x v="6"/>
    <x v="13"/>
    <x v="11"/>
    <x v="0"/>
    <x v="2"/>
    <x v="6"/>
    <x v="218"/>
    <x v="5"/>
    <x v="4"/>
    <x v="249"/>
  </r>
  <r>
    <x v="229"/>
    <x v="1"/>
    <x v="2"/>
    <x v="0"/>
    <x v="13"/>
    <x v="11"/>
    <x v="3"/>
    <x v="1"/>
    <x v="2"/>
    <x v="11"/>
    <x v="83"/>
    <x v="5"/>
    <x v="3"/>
    <x v="163"/>
  </r>
  <r>
    <x v="230"/>
    <x v="3"/>
    <x v="1"/>
    <x v="0"/>
    <x v="14"/>
    <x v="10"/>
    <x v="14"/>
    <x v="3"/>
    <x v="2"/>
    <x v="11"/>
    <x v="270"/>
    <x v="0"/>
    <x v="0"/>
    <x v="280"/>
  </r>
  <r>
    <x v="231"/>
    <x v="3"/>
    <x v="0"/>
    <x v="0"/>
    <x v="3"/>
    <x v="4"/>
    <x v="9"/>
    <x v="0"/>
    <x v="1"/>
    <x v="15"/>
    <x v="68"/>
    <x v="1"/>
    <x v="0"/>
    <x v="141"/>
  </r>
  <r>
    <x v="232"/>
    <x v="0"/>
    <x v="2"/>
    <x v="0"/>
    <x v="10"/>
    <x v="12"/>
    <x v="7"/>
    <x v="2"/>
    <x v="2"/>
    <x v="13"/>
    <x v="40"/>
    <x v="8"/>
    <x v="0"/>
    <x v="136"/>
  </r>
  <r>
    <x v="233"/>
    <x v="0"/>
    <x v="2"/>
    <x v="0"/>
    <x v="7"/>
    <x v="0"/>
    <x v="13"/>
    <x v="3"/>
    <x v="1"/>
    <x v="7"/>
    <x v="115"/>
    <x v="1"/>
    <x v="3"/>
    <x v="178"/>
  </r>
  <r>
    <x v="234"/>
    <x v="3"/>
    <x v="2"/>
    <x v="0"/>
    <x v="4"/>
    <x v="13"/>
    <x v="10"/>
    <x v="0"/>
    <x v="1"/>
    <x v="1"/>
    <x v="176"/>
    <x v="5"/>
    <x v="0"/>
    <x v="224"/>
  </r>
  <r>
    <x v="235"/>
    <x v="1"/>
    <x v="0"/>
    <x v="0"/>
    <x v="13"/>
    <x v="11"/>
    <x v="3"/>
    <x v="1"/>
    <x v="0"/>
    <x v="5"/>
    <x v="282"/>
    <x v="5"/>
    <x v="3"/>
    <x v="43"/>
  </r>
  <r>
    <x v="236"/>
    <x v="1"/>
    <x v="1"/>
    <x v="0"/>
    <x v="13"/>
    <x v="11"/>
    <x v="3"/>
    <x v="1"/>
    <x v="1"/>
    <x v="8"/>
    <x v="178"/>
    <x v="3"/>
    <x v="0"/>
    <x v="227"/>
  </r>
  <r>
    <x v="237"/>
    <x v="3"/>
    <x v="0"/>
    <x v="0"/>
    <x v="2"/>
    <x v="9"/>
    <x v="4"/>
    <x v="2"/>
    <x v="1"/>
    <x v="1"/>
    <x v="131"/>
    <x v="7"/>
    <x v="3"/>
    <x v="155"/>
  </r>
  <r>
    <x v="238"/>
    <x v="0"/>
    <x v="1"/>
    <x v="0"/>
    <x v="1"/>
    <x v="5"/>
    <x v="0"/>
    <x v="1"/>
    <x v="1"/>
    <x v="12"/>
    <x v="100"/>
    <x v="0"/>
    <x v="4"/>
    <x v="169"/>
  </r>
  <r>
    <x v="239"/>
    <x v="1"/>
    <x v="1"/>
    <x v="0"/>
    <x v="4"/>
    <x v="13"/>
    <x v="10"/>
    <x v="0"/>
    <x v="0"/>
    <x v="4"/>
    <x v="107"/>
    <x v="7"/>
    <x v="0"/>
    <x v="111"/>
  </r>
  <r>
    <x v="240"/>
    <x v="2"/>
    <x v="0"/>
    <x v="0"/>
    <x v="3"/>
    <x v="4"/>
    <x v="9"/>
    <x v="0"/>
    <x v="2"/>
    <x v="13"/>
    <x v="71"/>
    <x v="0"/>
    <x v="1"/>
    <x v="153"/>
  </r>
  <r>
    <x v="241"/>
    <x v="0"/>
    <x v="2"/>
    <x v="0"/>
    <x v="10"/>
    <x v="12"/>
    <x v="7"/>
    <x v="2"/>
    <x v="2"/>
    <x v="13"/>
    <x v="187"/>
    <x v="7"/>
    <x v="1"/>
    <x v="242"/>
  </r>
  <r>
    <x v="242"/>
    <x v="1"/>
    <x v="1"/>
    <x v="0"/>
    <x v="7"/>
    <x v="0"/>
    <x v="13"/>
    <x v="3"/>
    <x v="0"/>
    <x v="16"/>
    <x v="217"/>
    <x v="5"/>
    <x v="0"/>
    <x v="237"/>
  </r>
  <r>
    <x v="243"/>
    <x v="2"/>
    <x v="1"/>
    <x v="0"/>
    <x v="11"/>
    <x v="8"/>
    <x v="2"/>
    <x v="1"/>
    <x v="0"/>
    <x v="9"/>
    <x v="159"/>
    <x v="0"/>
    <x v="1"/>
    <x v="79"/>
  </r>
  <r>
    <x v="244"/>
    <x v="1"/>
    <x v="2"/>
    <x v="0"/>
    <x v="12"/>
    <x v="7"/>
    <x v="1"/>
    <x v="1"/>
    <x v="2"/>
    <x v="13"/>
    <x v="31"/>
    <x v="8"/>
    <x v="5"/>
    <x v="84"/>
  </r>
  <r>
    <x v="245"/>
    <x v="3"/>
    <x v="2"/>
    <x v="0"/>
    <x v="2"/>
    <x v="9"/>
    <x v="4"/>
    <x v="2"/>
    <x v="2"/>
    <x v="11"/>
    <x v="234"/>
    <x v="8"/>
    <x v="1"/>
    <x v="243"/>
  </r>
  <r>
    <x v="246"/>
    <x v="1"/>
    <x v="2"/>
    <x v="0"/>
    <x v="12"/>
    <x v="7"/>
    <x v="1"/>
    <x v="1"/>
    <x v="2"/>
    <x v="11"/>
    <x v="130"/>
    <x v="6"/>
    <x v="3"/>
    <x v="194"/>
  </r>
  <r>
    <x v="247"/>
    <x v="0"/>
    <x v="0"/>
    <x v="0"/>
    <x v="7"/>
    <x v="0"/>
    <x v="13"/>
    <x v="3"/>
    <x v="0"/>
    <x v="4"/>
    <x v="222"/>
    <x v="5"/>
    <x v="1"/>
    <x v="93"/>
  </r>
  <r>
    <x v="248"/>
    <x v="3"/>
    <x v="0"/>
    <x v="0"/>
    <x v="12"/>
    <x v="7"/>
    <x v="1"/>
    <x v="1"/>
    <x v="1"/>
    <x v="8"/>
    <x v="29"/>
    <x v="5"/>
    <x v="3"/>
    <x v="116"/>
  </r>
  <r>
    <x v="249"/>
    <x v="2"/>
    <x v="0"/>
    <x v="0"/>
    <x v="14"/>
    <x v="10"/>
    <x v="14"/>
    <x v="3"/>
    <x v="2"/>
    <x v="11"/>
    <x v="230"/>
    <x v="2"/>
    <x v="6"/>
    <x v="112"/>
  </r>
  <r>
    <x v="250"/>
    <x v="1"/>
    <x v="1"/>
    <x v="0"/>
    <x v="5"/>
    <x v="1"/>
    <x v="12"/>
    <x v="3"/>
    <x v="0"/>
    <x v="16"/>
    <x v="34"/>
    <x v="8"/>
    <x v="0"/>
    <x v="60"/>
  </r>
  <r>
    <x v="251"/>
    <x v="3"/>
    <x v="1"/>
    <x v="0"/>
    <x v="6"/>
    <x v="13"/>
    <x v="11"/>
    <x v="0"/>
    <x v="2"/>
    <x v="6"/>
    <x v="269"/>
    <x v="1"/>
    <x v="1"/>
    <x v="283"/>
  </r>
  <r>
    <x v="252"/>
    <x v="1"/>
    <x v="0"/>
    <x v="0"/>
    <x v="4"/>
    <x v="13"/>
    <x v="10"/>
    <x v="0"/>
    <x v="1"/>
    <x v="2"/>
    <x v="195"/>
    <x v="1"/>
    <x v="3"/>
    <x v="164"/>
  </r>
  <r>
    <x v="253"/>
    <x v="0"/>
    <x v="0"/>
    <x v="0"/>
    <x v="14"/>
    <x v="10"/>
    <x v="14"/>
    <x v="3"/>
    <x v="2"/>
    <x v="6"/>
    <x v="166"/>
    <x v="1"/>
    <x v="0"/>
    <x v="260"/>
  </r>
  <r>
    <x v="254"/>
    <x v="0"/>
    <x v="2"/>
    <x v="0"/>
    <x v="9"/>
    <x v="6"/>
    <x v="8"/>
    <x v="0"/>
    <x v="0"/>
    <x v="16"/>
    <x v="97"/>
    <x v="1"/>
    <x v="3"/>
    <x v="29"/>
  </r>
  <r>
    <x v="255"/>
    <x v="1"/>
    <x v="2"/>
    <x v="0"/>
    <x v="8"/>
    <x v="2"/>
    <x v="6"/>
    <x v="2"/>
    <x v="2"/>
    <x v="6"/>
    <x v="299"/>
    <x v="7"/>
    <x v="6"/>
    <x v="0"/>
  </r>
  <r>
    <x v="256"/>
    <x v="1"/>
    <x v="1"/>
    <x v="0"/>
    <x v="6"/>
    <x v="13"/>
    <x v="11"/>
    <x v="0"/>
    <x v="2"/>
    <x v="6"/>
    <x v="170"/>
    <x v="8"/>
    <x v="5"/>
    <x v="207"/>
  </r>
  <r>
    <x v="257"/>
    <x v="2"/>
    <x v="1"/>
    <x v="0"/>
    <x v="1"/>
    <x v="5"/>
    <x v="0"/>
    <x v="1"/>
    <x v="1"/>
    <x v="1"/>
    <x v="87"/>
    <x v="4"/>
    <x v="1"/>
    <x v="166"/>
  </r>
  <r>
    <x v="258"/>
    <x v="1"/>
    <x v="0"/>
    <x v="0"/>
    <x v="14"/>
    <x v="10"/>
    <x v="14"/>
    <x v="3"/>
    <x v="2"/>
    <x v="11"/>
    <x v="259"/>
    <x v="7"/>
    <x v="5"/>
    <x v="240"/>
  </r>
  <r>
    <x v="259"/>
    <x v="2"/>
    <x v="0"/>
    <x v="0"/>
    <x v="12"/>
    <x v="7"/>
    <x v="1"/>
    <x v="1"/>
    <x v="1"/>
    <x v="15"/>
    <x v="134"/>
    <x v="7"/>
    <x v="3"/>
    <x v="130"/>
  </r>
  <r>
    <x v="260"/>
    <x v="1"/>
    <x v="0"/>
    <x v="0"/>
    <x v="3"/>
    <x v="4"/>
    <x v="9"/>
    <x v="0"/>
    <x v="1"/>
    <x v="15"/>
    <x v="72"/>
    <x v="2"/>
    <x v="5"/>
    <x v="94"/>
  </r>
  <r>
    <x v="261"/>
    <x v="1"/>
    <x v="1"/>
    <x v="0"/>
    <x v="11"/>
    <x v="8"/>
    <x v="2"/>
    <x v="1"/>
    <x v="1"/>
    <x v="12"/>
    <x v="148"/>
    <x v="5"/>
    <x v="3"/>
    <x v="222"/>
  </r>
  <r>
    <x v="262"/>
    <x v="2"/>
    <x v="2"/>
    <x v="0"/>
    <x v="4"/>
    <x v="13"/>
    <x v="10"/>
    <x v="0"/>
    <x v="2"/>
    <x v="6"/>
    <x v="108"/>
    <x v="5"/>
    <x v="5"/>
    <x v="168"/>
  </r>
  <r>
    <x v="263"/>
    <x v="3"/>
    <x v="2"/>
    <x v="0"/>
    <x v="5"/>
    <x v="1"/>
    <x v="12"/>
    <x v="3"/>
    <x v="2"/>
    <x v="13"/>
    <x v="91"/>
    <x v="0"/>
    <x v="0"/>
    <x v="174"/>
  </r>
  <r>
    <x v="264"/>
    <x v="3"/>
    <x v="0"/>
    <x v="0"/>
    <x v="11"/>
    <x v="8"/>
    <x v="2"/>
    <x v="1"/>
    <x v="1"/>
    <x v="3"/>
    <x v="4"/>
    <x v="2"/>
    <x v="3"/>
    <x v="90"/>
  </r>
  <r>
    <x v="265"/>
    <x v="2"/>
    <x v="1"/>
    <x v="0"/>
    <x v="12"/>
    <x v="7"/>
    <x v="1"/>
    <x v="1"/>
    <x v="1"/>
    <x v="12"/>
    <x v="74"/>
    <x v="0"/>
    <x v="0"/>
    <x v="170"/>
  </r>
  <r>
    <x v="266"/>
    <x v="1"/>
    <x v="0"/>
    <x v="0"/>
    <x v="3"/>
    <x v="4"/>
    <x v="9"/>
    <x v="0"/>
    <x v="2"/>
    <x v="13"/>
    <x v="232"/>
    <x v="5"/>
    <x v="7"/>
    <x v="78"/>
  </r>
  <r>
    <x v="267"/>
    <x v="1"/>
    <x v="0"/>
    <x v="0"/>
    <x v="14"/>
    <x v="10"/>
    <x v="14"/>
    <x v="3"/>
    <x v="1"/>
    <x v="15"/>
    <x v="180"/>
    <x v="5"/>
    <x v="0"/>
    <x v="229"/>
  </r>
  <r>
    <x v="268"/>
    <x v="1"/>
    <x v="0"/>
    <x v="0"/>
    <x v="15"/>
    <x v="14"/>
    <x v="15"/>
    <x v="3"/>
    <x v="0"/>
    <x v="5"/>
    <x v="162"/>
    <x v="6"/>
    <x v="3"/>
    <x v="100"/>
  </r>
  <r>
    <x v="269"/>
    <x v="2"/>
    <x v="1"/>
    <x v="0"/>
    <x v="13"/>
    <x v="11"/>
    <x v="3"/>
    <x v="1"/>
    <x v="1"/>
    <x v="12"/>
    <x v="151"/>
    <x v="4"/>
    <x v="5"/>
    <x v="202"/>
  </r>
  <r>
    <x v="270"/>
    <x v="2"/>
    <x v="2"/>
    <x v="0"/>
    <x v="11"/>
    <x v="8"/>
    <x v="2"/>
    <x v="1"/>
    <x v="1"/>
    <x v="1"/>
    <x v="44"/>
    <x v="1"/>
    <x v="3"/>
    <x v="127"/>
  </r>
  <r>
    <x v="271"/>
    <x v="2"/>
    <x v="0"/>
    <x v="0"/>
    <x v="0"/>
    <x v="3"/>
    <x v="5"/>
    <x v="2"/>
    <x v="0"/>
    <x v="16"/>
    <x v="124"/>
    <x v="8"/>
    <x v="3"/>
    <x v="31"/>
  </r>
  <r>
    <x v="272"/>
    <x v="1"/>
    <x v="2"/>
    <x v="0"/>
    <x v="11"/>
    <x v="8"/>
    <x v="2"/>
    <x v="1"/>
    <x v="2"/>
    <x v="6"/>
    <x v="276"/>
    <x v="1"/>
    <x v="1"/>
    <x v="286"/>
  </r>
  <r>
    <x v="273"/>
    <x v="1"/>
    <x v="0"/>
    <x v="0"/>
    <x v="14"/>
    <x v="10"/>
    <x v="14"/>
    <x v="3"/>
    <x v="2"/>
    <x v="13"/>
    <x v="275"/>
    <x v="0"/>
    <x v="3"/>
    <x v="274"/>
  </r>
  <r>
    <x v="274"/>
    <x v="0"/>
    <x v="1"/>
    <x v="0"/>
    <x v="12"/>
    <x v="7"/>
    <x v="1"/>
    <x v="1"/>
    <x v="0"/>
    <x v="16"/>
    <x v="254"/>
    <x v="8"/>
    <x v="1"/>
    <x v="26"/>
  </r>
  <r>
    <x v="275"/>
    <x v="1"/>
    <x v="1"/>
    <x v="0"/>
    <x v="3"/>
    <x v="4"/>
    <x v="9"/>
    <x v="0"/>
    <x v="1"/>
    <x v="7"/>
    <x v="56"/>
    <x v="0"/>
    <x v="1"/>
    <x v="135"/>
  </r>
  <r>
    <x v="276"/>
    <x v="3"/>
    <x v="1"/>
    <x v="0"/>
    <x v="8"/>
    <x v="2"/>
    <x v="6"/>
    <x v="2"/>
    <x v="1"/>
    <x v="1"/>
    <x v="149"/>
    <x v="6"/>
    <x v="3"/>
    <x v="161"/>
  </r>
  <r>
    <x v="277"/>
    <x v="3"/>
    <x v="0"/>
    <x v="0"/>
    <x v="6"/>
    <x v="13"/>
    <x v="11"/>
    <x v="0"/>
    <x v="2"/>
    <x v="13"/>
    <x v="203"/>
    <x v="2"/>
    <x v="0"/>
    <x v="14"/>
  </r>
  <r>
    <x v="278"/>
    <x v="3"/>
    <x v="2"/>
    <x v="0"/>
    <x v="15"/>
    <x v="14"/>
    <x v="15"/>
    <x v="3"/>
    <x v="2"/>
    <x v="13"/>
    <x v="256"/>
    <x v="1"/>
    <x v="0"/>
    <x v="268"/>
  </r>
  <r>
    <x v="279"/>
    <x v="3"/>
    <x v="0"/>
    <x v="0"/>
    <x v="5"/>
    <x v="1"/>
    <x v="12"/>
    <x v="3"/>
    <x v="0"/>
    <x v="5"/>
    <x v="210"/>
    <x v="2"/>
    <x v="3"/>
    <x v="160"/>
  </r>
  <r>
    <x v="280"/>
    <x v="1"/>
    <x v="2"/>
    <x v="0"/>
    <x v="2"/>
    <x v="9"/>
    <x v="4"/>
    <x v="2"/>
    <x v="2"/>
    <x v="13"/>
    <x v="105"/>
    <x v="8"/>
    <x v="2"/>
    <x v="184"/>
  </r>
  <r>
    <x v="281"/>
    <x v="1"/>
    <x v="0"/>
    <x v="0"/>
    <x v="10"/>
    <x v="12"/>
    <x v="7"/>
    <x v="2"/>
    <x v="0"/>
    <x v="5"/>
    <x v="212"/>
    <x v="0"/>
    <x v="5"/>
    <x v="22"/>
  </r>
  <r>
    <x v="282"/>
    <x v="1"/>
    <x v="0"/>
    <x v="0"/>
    <x v="9"/>
    <x v="6"/>
    <x v="8"/>
    <x v="0"/>
    <x v="0"/>
    <x v="16"/>
    <x v="250"/>
    <x v="1"/>
    <x v="1"/>
    <x v="30"/>
  </r>
  <r>
    <x v="283"/>
    <x v="2"/>
    <x v="0"/>
    <x v="0"/>
    <x v="14"/>
    <x v="10"/>
    <x v="14"/>
    <x v="3"/>
    <x v="1"/>
    <x v="14"/>
    <x v="43"/>
    <x v="2"/>
    <x v="4"/>
    <x v="73"/>
  </r>
  <r>
    <x v="284"/>
    <x v="0"/>
    <x v="2"/>
    <x v="0"/>
    <x v="6"/>
    <x v="13"/>
    <x v="11"/>
    <x v="0"/>
    <x v="0"/>
    <x v="16"/>
    <x v="188"/>
    <x v="6"/>
    <x v="7"/>
    <x v="7"/>
  </r>
  <r>
    <x v="285"/>
    <x v="1"/>
    <x v="2"/>
    <x v="0"/>
    <x v="1"/>
    <x v="5"/>
    <x v="0"/>
    <x v="1"/>
    <x v="0"/>
    <x v="9"/>
    <x v="261"/>
    <x v="6"/>
    <x v="3"/>
    <x v="58"/>
  </r>
  <r>
    <x v="286"/>
    <x v="2"/>
    <x v="1"/>
    <x v="0"/>
    <x v="14"/>
    <x v="10"/>
    <x v="14"/>
    <x v="3"/>
    <x v="1"/>
    <x v="2"/>
    <x v="78"/>
    <x v="7"/>
    <x v="0"/>
    <x v="145"/>
  </r>
  <r>
    <x v="287"/>
    <x v="0"/>
    <x v="0"/>
    <x v="0"/>
    <x v="14"/>
    <x v="10"/>
    <x v="14"/>
    <x v="3"/>
    <x v="2"/>
    <x v="13"/>
    <x v="244"/>
    <x v="8"/>
    <x v="7"/>
    <x v="15"/>
  </r>
  <r>
    <x v="288"/>
    <x v="1"/>
    <x v="1"/>
    <x v="0"/>
    <x v="9"/>
    <x v="6"/>
    <x v="8"/>
    <x v="0"/>
    <x v="2"/>
    <x v="0"/>
    <x v="264"/>
    <x v="3"/>
    <x v="3"/>
    <x v="271"/>
  </r>
  <r>
    <x v="289"/>
    <x v="2"/>
    <x v="1"/>
    <x v="0"/>
    <x v="1"/>
    <x v="5"/>
    <x v="0"/>
    <x v="1"/>
    <x v="2"/>
    <x v="11"/>
    <x v="121"/>
    <x v="3"/>
    <x v="0"/>
    <x v="220"/>
  </r>
  <r>
    <x v="290"/>
    <x v="0"/>
    <x v="2"/>
    <x v="0"/>
    <x v="2"/>
    <x v="9"/>
    <x v="4"/>
    <x v="2"/>
    <x v="2"/>
    <x v="0"/>
    <x v="249"/>
    <x v="8"/>
    <x v="2"/>
    <x v="279"/>
  </r>
  <r>
    <x v="291"/>
    <x v="1"/>
    <x v="2"/>
    <x v="0"/>
    <x v="13"/>
    <x v="11"/>
    <x v="3"/>
    <x v="1"/>
    <x v="1"/>
    <x v="12"/>
    <x v="127"/>
    <x v="2"/>
    <x v="2"/>
    <x v="190"/>
  </r>
  <r>
    <x v="292"/>
    <x v="0"/>
    <x v="1"/>
    <x v="0"/>
    <x v="0"/>
    <x v="3"/>
    <x v="5"/>
    <x v="2"/>
    <x v="2"/>
    <x v="13"/>
    <x v="154"/>
    <x v="8"/>
    <x v="6"/>
    <x v="69"/>
  </r>
  <r>
    <x v="293"/>
    <x v="1"/>
    <x v="2"/>
    <x v="0"/>
    <x v="12"/>
    <x v="7"/>
    <x v="1"/>
    <x v="1"/>
    <x v="1"/>
    <x v="8"/>
    <x v="139"/>
    <x v="3"/>
    <x v="0"/>
    <x v="215"/>
  </r>
  <r>
    <x v="294"/>
    <x v="2"/>
    <x v="0"/>
    <x v="0"/>
    <x v="5"/>
    <x v="1"/>
    <x v="12"/>
    <x v="3"/>
    <x v="2"/>
    <x v="13"/>
    <x v="94"/>
    <x v="1"/>
    <x v="7"/>
    <x v="76"/>
  </r>
  <r>
    <x v="295"/>
    <x v="1"/>
    <x v="2"/>
    <x v="0"/>
    <x v="8"/>
    <x v="2"/>
    <x v="6"/>
    <x v="2"/>
    <x v="1"/>
    <x v="7"/>
    <x v="169"/>
    <x v="2"/>
    <x v="2"/>
    <x v="180"/>
  </r>
  <r>
    <x v="296"/>
    <x v="2"/>
    <x v="2"/>
    <x v="0"/>
    <x v="2"/>
    <x v="9"/>
    <x v="4"/>
    <x v="2"/>
    <x v="0"/>
    <x v="4"/>
    <x v="64"/>
    <x v="5"/>
    <x v="0"/>
    <x v="97"/>
  </r>
  <r>
    <x v="297"/>
    <x v="0"/>
    <x v="0"/>
    <x v="0"/>
    <x v="12"/>
    <x v="7"/>
    <x v="1"/>
    <x v="1"/>
    <x v="2"/>
    <x v="6"/>
    <x v="248"/>
    <x v="3"/>
    <x v="3"/>
    <x v="266"/>
  </r>
  <r>
    <x v="298"/>
    <x v="3"/>
    <x v="1"/>
    <x v="0"/>
    <x v="11"/>
    <x v="8"/>
    <x v="2"/>
    <x v="1"/>
    <x v="1"/>
    <x v="8"/>
    <x v="46"/>
    <x v="7"/>
    <x v="1"/>
    <x v="124"/>
  </r>
  <r>
    <x v="299"/>
    <x v="1"/>
    <x v="1"/>
    <x v="0"/>
    <x v="7"/>
    <x v="0"/>
    <x v="13"/>
    <x v="3"/>
    <x v="0"/>
    <x v="16"/>
    <x v="204"/>
    <x v="8"/>
    <x v="3"/>
    <x v="2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Region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4:C14" firstHeaderRow="1" firstDataRow="1" firstDataCol="2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</pivotFields>
  <rowFields count="1">
    <field x="7"/>
  </rowFields>
  <dataFields count="2">
    <dataField name="Sum - Sales" fld="10" subtotal="sum" numFmtId="165"/>
    <dataField name="Sum - Profit" fld="13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5.0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23.8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4" min="12" style="0" width="11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</row>
    <row r="2" customFormat="false" ht="15" hidden="false" customHeight="false" outlineLevel="0" collapsed="false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n">
        <v>10011</v>
      </c>
      <c r="H2" s="5" t="s">
        <v>46</v>
      </c>
      <c r="I2" s="5" t="s">
        <v>47</v>
      </c>
      <c r="J2" s="5" t="s">
        <v>48</v>
      </c>
      <c r="K2" s="6" t="n">
        <v>143.63</v>
      </c>
      <c r="L2" s="5" t="n">
        <v>4</v>
      </c>
      <c r="M2" s="7" t="n">
        <v>0.1</v>
      </c>
      <c r="N2" s="6" t="n">
        <v>3.49</v>
      </c>
    </row>
    <row r="3" customFormat="false" ht="15" hidden="false" customHeight="false" outlineLevel="0" collapsed="false">
      <c r="A3" s="5" t="s">
        <v>49</v>
      </c>
      <c r="B3" s="5" t="s">
        <v>41</v>
      </c>
      <c r="C3" s="5" t="s">
        <v>50</v>
      </c>
      <c r="D3" s="5" t="s">
        <v>43</v>
      </c>
      <c r="E3" s="5" t="s">
        <v>51</v>
      </c>
      <c r="F3" s="5" t="s">
        <v>52</v>
      </c>
      <c r="G3" s="5" t="n">
        <v>37211</v>
      </c>
      <c r="H3" s="5" t="s">
        <v>53</v>
      </c>
      <c r="I3" s="5" t="s">
        <v>54</v>
      </c>
      <c r="J3" s="5" t="s">
        <v>55</v>
      </c>
      <c r="K3" s="6" t="n">
        <v>50</v>
      </c>
      <c r="L3" s="5" t="n">
        <v>4</v>
      </c>
      <c r="M3" s="7" t="n">
        <v>0</v>
      </c>
      <c r="N3" s="6" t="n">
        <v>11.09</v>
      </c>
    </row>
    <row r="4" customFormat="false" ht="15" hidden="false" customHeight="false" outlineLevel="0" collapsed="false">
      <c r="A4" s="5" t="s">
        <v>56</v>
      </c>
      <c r="B4" s="5" t="s">
        <v>57</v>
      </c>
      <c r="C4" s="5" t="s">
        <v>50</v>
      </c>
      <c r="D4" s="5" t="s">
        <v>43</v>
      </c>
      <c r="E4" s="5" t="s">
        <v>58</v>
      </c>
      <c r="F4" s="5" t="s">
        <v>59</v>
      </c>
      <c r="G4" s="5" t="n">
        <v>30318</v>
      </c>
      <c r="H4" s="5" t="s">
        <v>53</v>
      </c>
      <c r="I4" s="5" t="s">
        <v>47</v>
      </c>
      <c r="J4" s="5" t="s">
        <v>60</v>
      </c>
      <c r="K4" s="6" t="n">
        <v>29.74</v>
      </c>
      <c r="L4" s="5" t="n">
        <v>9</v>
      </c>
      <c r="M4" s="7" t="n">
        <v>0.15</v>
      </c>
      <c r="N4" s="6" t="n">
        <v>1.21</v>
      </c>
    </row>
    <row r="5" customFormat="false" ht="15" hidden="false" customHeight="false" outlineLevel="0" collapsed="false">
      <c r="A5" s="5" t="s">
        <v>61</v>
      </c>
      <c r="B5" s="5" t="s">
        <v>41</v>
      </c>
      <c r="C5" s="5" t="s">
        <v>42</v>
      </c>
      <c r="D5" s="5" t="s">
        <v>43</v>
      </c>
      <c r="E5" s="5" t="s">
        <v>62</v>
      </c>
      <c r="F5" s="5" t="s">
        <v>63</v>
      </c>
      <c r="G5" s="5" t="n">
        <v>77095</v>
      </c>
      <c r="H5" s="5" t="s">
        <v>64</v>
      </c>
      <c r="I5" s="5" t="s">
        <v>65</v>
      </c>
      <c r="J5" s="5" t="s">
        <v>66</v>
      </c>
      <c r="K5" s="6" t="n">
        <v>137.48</v>
      </c>
      <c r="L5" s="5" t="n">
        <v>1</v>
      </c>
      <c r="M5" s="7" t="n">
        <v>0</v>
      </c>
      <c r="N5" s="6" t="n">
        <v>43.59</v>
      </c>
    </row>
    <row r="6" customFormat="false" ht="15" hidden="false" customHeight="false" outlineLevel="0" collapsed="false">
      <c r="A6" s="5" t="s">
        <v>67</v>
      </c>
      <c r="B6" s="5" t="s">
        <v>68</v>
      </c>
      <c r="C6" s="5" t="s">
        <v>69</v>
      </c>
      <c r="D6" s="5" t="s">
        <v>43</v>
      </c>
      <c r="E6" s="5" t="s">
        <v>70</v>
      </c>
      <c r="F6" s="5" t="s">
        <v>71</v>
      </c>
      <c r="G6" s="5" t="n">
        <v>80219</v>
      </c>
      <c r="H6" s="5" t="s">
        <v>72</v>
      </c>
      <c r="I6" s="5" t="s">
        <v>54</v>
      </c>
      <c r="J6" s="5" t="s">
        <v>73</v>
      </c>
      <c r="K6" s="6" t="n">
        <v>54.35</v>
      </c>
      <c r="L6" s="5" t="n">
        <v>2</v>
      </c>
      <c r="M6" s="7" t="n">
        <v>0.7</v>
      </c>
      <c r="N6" s="6" t="n">
        <v>1.26</v>
      </c>
    </row>
    <row r="7" customFormat="false" ht="15" hidden="false" customHeight="false" outlineLevel="0" collapsed="false">
      <c r="A7" s="5" t="s">
        <v>74</v>
      </c>
      <c r="B7" s="5" t="s">
        <v>57</v>
      </c>
      <c r="C7" s="5" t="s">
        <v>69</v>
      </c>
      <c r="D7" s="5" t="s">
        <v>43</v>
      </c>
      <c r="E7" s="5" t="s">
        <v>75</v>
      </c>
      <c r="F7" s="5" t="s">
        <v>76</v>
      </c>
      <c r="G7" s="5" t="n">
        <v>60610</v>
      </c>
      <c r="H7" s="5" t="s">
        <v>64</v>
      </c>
      <c r="I7" s="5" t="s">
        <v>54</v>
      </c>
      <c r="J7" s="5" t="s">
        <v>77</v>
      </c>
      <c r="K7" s="6" t="n">
        <v>99.88</v>
      </c>
      <c r="L7" s="5" t="n">
        <v>1</v>
      </c>
      <c r="M7" s="7" t="n">
        <v>0.4</v>
      </c>
      <c r="N7" s="6" t="n">
        <v>29.44</v>
      </c>
    </row>
    <row r="8" customFormat="false" ht="15" hidden="false" customHeight="false" outlineLevel="0" collapsed="false">
      <c r="A8" s="5" t="s">
        <v>78</v>
      </c>
      <c r="B8" s="5" t="s">
        <v>41</v>
      </c>
      <c r="C8" s="5" t="s">
        <v>42</v>
      </c>
      <c r="D8" s="5" t="s">
        <v>43</v>
      </c>
      <c r="E8" s="5" t="s">
        <v>79</v>
      </c>
      <c r="F8" s="5" t="s">
        <v>80</v>
      </c>
      <c r="G8" s="5" t="n">
        <v>2127</v>
      </c>
      <c r="H8" s="5" t="s">
        <v>46</v>
      </c>
      <c r="I8" s="5" t="s">
        <v>65</v>
      </c>
      <c r="J8" s="5" t="s">
        <v>81</v>
      </c>
      <c r="K8" s="6" t="n">
        <v>41.95</v>
      </c>
      <c r="L8" s="5" t="n">
        <v>9</v>
      </c>
      <c r="M8" s="7" t="n">
        <v>0</v>
      </c>
      <c r="N8" s="6" t="n">
        <v>11.74</v>
      </c>
    </row>
    <row r="9" customFormat="false" ht="15" hidden="false" customHeight="false" outlineLevel="0" collapsed="false">
      <c r="A9" s="5" t="s">
        <v>82</v>
      </c>
      <c r="B9" s="5" t="s">
        <v>83</v>
      </c>
      <c r="C9" s="5" t="s">
        <v>69</v>
      </c>
      <c r="D9" s="5" t="s">
        <v>43</v>
      </c>
      <c r="E9" s="5" t="s">
        <v>70</v>
      </c>
      <c r="F9" s="5" t="s">
        <v>71</v>
      </c>
      <c r="G9" s="5" t="n">
        <v>80219</v>
      </c>
      <c r="H9" s="5" t="s">
        <v>72</v>
      </c>
      <c r="I9" s="5" t="s">
        <v>47</v>
      </c>
      <c r="J9" s="5" t="s">
        <v>84</v>
      </c>
      <c r="K9" s="6" t="n">
        <v>34.19</v>
      </c>
      <c r="L9" s="5" t="n">
        <v>5</v>
      </c>
      <c r="M9" s="7" t="n">
        <v>0.2</v>
      </c>
      <c r="N9" s="6" t="n">
        <v>-4.59</v>
      </c>
    </row>
    <row r="10" customFormat="false" ht="15" hidden="false" customHeight="false" outlineLevel="0" collapsed="false">
      <c r="A10" s="5" t="s">
        <v>85</v>
      </c>
      <c r="B10" s="5" t="s">
        <v>68</v>
      </c>
      <c r="C10" s="5" t="s">
        <v>50</v>
      </c>
      <c r="D10" s="5" t="s">
        <v>43</v>
      </c>
      <c r="E10" s="5" t="s">
        <v>70</v>
      </c>
      <c r="F10" s="5" t="s">
        <v>71</v>
      </c>
      <c r="G10" s="5" t="n">
        <v>80219</v>
      </c>
      <c r="H10" s="5" t="s">
        <v>72</v>
      </c>
      <c r="I10" s="5" t="s">
        <v>47</v>
      </c>
      <c r="J10" s="5" t="s">
        <v>86</v>
      </c>
      <c r="K10" s="6" t="n">
        <v>206.18</v>
      </c>
      <c r="L10" s="5" t="n">
        <v>6</v>
      </c>
      <c r="M10" s="7" t="n">
        <v>0</v>
      </c>
      <c r="N10" s="6" t="n">
        <v>11.43</v>
      </c>
    </row>
    <row r="11" customFormat="false" ht="15" hidden="false" customHeight="false" outlineLevel="0" collapsed="false">
      <c r="A11" s="5" t="s">
        <v>87</v>
      </c>
      <c r="B11" s="5" t="s">
        <v>68</v>
      </c>
      <c r="C11" s="5" t="s">
        <v>69</v>
      </c>
      <c r="D11" s="5" t="s">
        <v>43</v>
      </c>
      <c r="E11" s="5" t="s">
        <v>44</v>
      </c>
      <c r="F11" s="5" t="s">
        <v>45</v>
      </c>
      <c r="G11" s="5" t="n">
        <v>10011</v>
      </c>
      <c r="H11" s="5" t="s">
        <v>46</v>
      </c>
      <c r="I11" s="5" t="s">
        <v>65</v>
      </c>
      <c r="J11" s="5" t="s">
        <v>88</v>
      </c>
      <c r="K11" s="6" t="n">
        <v>137.56</v>
      </c>
      <c r="L11" s="5" t="n">
        <v>9</v>
      </c>
      <c r="M11" s="7" t="n">
        <v>0</v>
      </c>
      <c r="N11" s="6" t="n">
        <v>52.23</v>
      </c>
    </row>
    <row r="12" customFormat="false" ht="15" hidden="false" customHeight="false" outlineLevel="0" collapsed="false">
      <c r="A12" s="5" t="s">
        <v>89</v>
      </c>
      <c r="B12" s="5" t="s">
        <v>83</v>
      </c>
      <c r="C12" s="5" t="s">
        <v>42</v>
      </c>
      <c r="D12" s="5" t="s">
        <v>43</v>
      </c>
      <c r="E12" s="5" t="s">
        <v>62</v>
      </c>
      <c r="F12" s="5" t="s">
        <v>63</v>
      </c>
      <c r="G12" s="5" t="n">
        <v>77095</v>
      </c>
      <c r="H12" s="5" t="s">
        <v>64</v>
      </c>
      <c r="I12" s="5" t="s">
        <v>47</v>
      </c>
      <c r="J12" s="5" t="s">
        <v>48</v>
      </c>
      <c r="K12" s="6" t="n">
        <v>182.97</v>
      </c>
      <c r="L12" s="5" t="n">
        <v>8</v>
      </c>
      <c r="M12" s="7" t="n">
        <v>0</v>
      </c>
      <c r="N12" s="6" t="n">
        <v>25.84</v>
      </c>
    </row>
    <row r="13" customFormat="false" ht="15" hidden="false" customHeight="false" outlineLevel="0" collapsed="false">
      <c r="A13" s="5" t="s">
        <v>90</v>
      </c>
      <c r="B13" s="5" t="s">
        <v>57</v>
      </c>
      <c r="C13" s="5" t="s">
        <v>69</v>
      </c>
      <c r="D13" s="5" t="s">
        <v>43</v>
      </c>
      <c r="E13" s="5" t="s">
        <v>91</v>
      </c>
      <c r="F13" s="5" t="s">
        <v>92</v>
      </c>
      <c r="G13" s="5" t="n">
        <v>33311</v>
      </c>
      <c r="H13" s="5" t="s">
        <v>53</v>
      </c>
      <c r="I13" s="5" t="s">
        <v>54</v>
      </c>
      <c r="J13" s="5" t="s">
        <v>93</v>
      </c>
      <c r="K13" s="6" t="n">
        <v>53.73</v>
      </c>
      <c r="L13" s="5" t="n">
        <v>8</v>
      </c>
      <c r="M13" s="7" t="n">
        <v>0</v>
      </c>
      <c r="N13" s="6" t="n">
        <v>23.81</v>
      </c>
    </row>
    <row r="14" customFormat="false" ht="15" hidden="false" customHeight="false" outlineLevel="0" collapsed="false">
      <c r="A14" s="5" t="s">
        <v>94</v>
      </c>
      <c r="B14" s="5" t="s">
        <v>57</v>
      </c>
      <c r="C14" s="5" t="s">
        <v>69</v>
      </c>
      <c r="D14" s="5" t="s">
        <v>43</v>
      </c>
      <c r="E14" s="5" t="s">
        <v>95</v>
      </c>
      <c r="F14" s="5" t="s">
        <v>96</v>
      </c>
      <c r="G14" s="5" t="n">
        <v>97206</v>
      </c>
      <c r="H14" s="5" t="s">
        <v>72</v>
      </c>
      <c r="I14" s="5" t="s">
        <v>54</v>
      </c>
      <c r="J14" s="5" t="s">
        <v>55</v>
      </c>
      <c r="K14" s="6" t="n">
        <v>261.72</v>
      </c>
      <c r="L14" s="5" t="n">
        <v>8</v>
      </c>
      <c r="M14" s="7" t="n">
        <v>0.4</v>
      </c>
      <c r="N14" s="6" t="n">
        <v>44.84</v>
      </c>
    </row>
    <row r="15" customFormat="false" ht="15" hidden="false" customHeight="false" outlineLevel="0" collapsed="false">
      <c r="A15" s="5" t="s">
        <v>97</v>
      </c>
      <c r="B15" s="5" t="s">
        <v>68</v>
      </c>
      <c r="C15" s="5" t="s">
        <v>42</v>
      </c>
      <c r="D15" s="5" t="s">
        <v>43</v>
      </c>
      <c r="E15" s="5" t="s">
        <v>44</v>
      </c>
      <c r="F15" s="5" t="s">
        <v>45</v>
      </c>
      <c r="G15" s="5" t="n">
        <v>10011</v>
      </c>
      <c r="H15" s="5" t="s">
        <v>46</v>
      </c>
      <c r="I15" s="5" t="s">
        <v>54</v>
      </c>
      <c r="J15" s="5" t="s">
        <v>73</v>
      </c>
      <c r="K15" s="6" t="n">
        <v>108.53</v>
      </c>
      <c r="L15" s="5" t="n">
        <v>5</v>
      </c>
      <c r="M15" s="7" t="n">
        <v>0.2</v>
      </c>
      <c r="N15" s="6" t="n">
        <v>30.01</v>
      </c>
    </row>
    <row r="16" customFormat="false" ht="15" hidden="false" customHeight="false" outlineLevel="0" collapsed="false">
      <c r="A16" s="5" t="s">
        <v>98</v>
      </c>
      <c r="B16" s="5" t="s">
        <v>57</v>
      </c>
      <c r="C16" s="5" t="s">
        <v>69</v>
      </c>
      <c r="D16" s="5" t="s">
        <v>43</v>
      </c>
      <c r="E16" s="5" t="s">
        <v>95</v>
      </c>
      <c r="F16" s="5" t="s">
        <v>96</v>
      </c>
      <c r="G16" s="5" t="n">
        <v>97206</v>
      </c>
      <c r="H16" s="5" t="s">
        <v>72</v>
      </c>
      <c r="I16" s="5" t="s">
        <v>54</v>
      </c>
      <c r="J16" s="5" t="s">
        <v>73</v>
      </c>
      <c r="K16" s="6" t="n">
        <v>343.57</v>
      </c>
      <c r="L16" s="5" t="n">
        <v>1</v>
      </c>
      <c r="M16" s="7" t="n">
        <v>0.2</v>
      </c>
      <c r="N16" s="6" t="n">
        <v>94.03</v>
      </c>
    </row>
    <row r="17" customFormat="false" ht="15" hidden="false" customHeight="false" outlineLevel="0" collapsed="false">
      <c r="A17" s="5" t="s">
        <v>99</v>
      </c>
      <c r="B17" s="5" t="s">
        <v>68</v>
      </c>
      <c r="C17" s="5" t="s">
        <v>50</v>
      </c>
      <c r="D17" s="5" t="s">
        <v>43</v>
      </c>
      <c r="E17" s="5" t="s">
        <v>100</v>
      </c>
      <c r="F17" s="5" t="s">
        <v>101</v>
      </c>
      <c r="G17" s="5" t="n">
        <v>19140</v>
      </c>
      <c r="H17" s="5" t="s">
        <v>46</v>
      </c>
      <c r="I17" s="5" t="s">
        <v>54</v>
      </c>
      <c r="J17" s="5" t="s">
        <v>73</v>
      </c>
      <c r="K17" s="6" t="n">
        <v>132.99</v>
      </c>
      <c r="L17" s="5" t="n">
        <v>6</v>
      </c>
      <c r="M17" s="7" t="n">
        <v>0.7</v>
      </c>
      <c r="N17" s="6" t="n">
        <v>3.34</v>
      </c>
    </row>
    <row r="18" customFormat="false" ht="15" hidden="false" customHeight="false" outlineLevel="0" collapsed="false">
      <c r="A18" s="5" t="s">
        <v>102</v>
      </c>
      <c r="B18" s="5" t="s">
        <v>83</v>
      </c>
      <c r="C18" s="5" t="s">
        <v>50</v>
      </c>
      <c r="D18" s="5" t="s">
        <v>43</v>
      </c>
      <c r="E18" s="5" t="s">
        <v>62</v>
      </c>
      <c r="F18" s="5" t="s">
        <v>63</v>
      </c>
      <c r="G18" s="5" t="n">
        <v>77095</v>
      </c>
      <c r="H18" s="5" t="s">
        <v>64</v>
      </c>
      <c r="I18" s="5" t="s">
        <v>47</v>
      </c>
      <c r="J18" s="5" t="s">
        <v>84</v>
      </c>
      <c r="K18" s="6" t="n">
        <v>136.78</v>
      </c>
      <c r="L18" s="5" t="n">
        <v>7</v>
      </c>
      <c r="M18" s="7" t="n">
        <v>0.7</v>
      </c>
      <c r="N18" s="6" t="n">
        <v>-59.83</v>
      </c>
    </row>
    <row r="19" customFormat="false" ht="15" hidden="false" customHeight="false" outlineLevel="0" collapsed="false">
      <c r="A19" s="5" t="s">
        <v>103</v>
      </c>
      <c r="B19" s="5" t="s">
        <v>83</v>
      </c>
      <c r="C19" s="5" t="s">
        <v>50</v>
      </c>
      <c r="D19" s="5" t="s">
        <v>43</v>
      </c>
      <c r="E19" s="5" t="s">
        <v>104</v>
      </c>
      <c r="F19" s="5" t="s">
        <v>105</v>
      </c>
      <c r="G19" s="5" t="n">
        <v>28205</v>
      </c>
      <c r="H19" s="5" t="s">
        <v>53</v>
      </c>
      <c r="I19" s="5" t="s">
        <v>47</v>
      </c>
      <c r="J19" s="5" t="s">
        <v>86</v>
      </c>
      <c r="K19" s="6" t="n">
        <v>31.19</v>
      </c>
      <c r="L19" s="5" t="n">
        <v>3</v>
      </c>
      <c r="M19" s="7" t="n">
        <v>0.3</v>
      </c>
      <c r="N19" s="6" t="n">
        <v>-6.46</v>
      </c>
    </row>
    <row r="20" customFormat="false" ht="15" hidden="false" customHeight="false" outlineLevel="0" collapsed="false">
      <c r="A20" s="5" t="s">
        <v>106</v>
      </c>
      <c r="B20" s="5" t="s">
        <v>83</v>
      </c>
      <c r="C20" s="5" t="s">
        <v>42</v>
      </c>
      <c r="D20" s="5" t="s">
        <v>43</v>
      </c>
      <c r="E20" s="5" t="s">
        <v>107</v>
      </c>
      <c r="F20" s="5" t="s">
        <v>108</v>
      </c>
      <c r="G20" s="5" t="n">
        <v>7102</v>
      </c>
      <c r="H20" s="5" t="s">
        <v>46</v>
      </c>
      <c r="I20" s="5" t="s">
        <v>65</v>
      </c>
      <c r="J20" s="5" t="s">
        <v>109</v>
      </c>
      <c r="K20" s="6" t="n">
        <v>40.63</v>
      </c>
      <c r="L20" s="5" t="n">
        <v>2</v>
      </c>
      <c r="M20" s="7" t="n">
        <v>0.5</v>
      </c>
      <c r="N20" s="6" t="n">
        <v>-3.42</v>
      </c>
    </row>
    <row r="21" customFormat="false" ht="15" hidden="false" customHeight="false" outlineLevel="0" collapsed="false">
      <c r="A21" s="5" t="s">
        <v>110</v>
      </c>
      <c r="B21" s="5" t="s">
        <v>83</v>
      </c>
      <c r="C21" s="5" t="s">
        <v>42</v>
      </c>
      <c r="D21" s="5" t="s">
        <v>43</v>
      </c>
      <c r="E21" s="5" t="s">
        <v>91</v>
      </c>
      <c r="F21" s="5" t="s">
        <v>92</v>
      </c>
      <c r="G21" s="5" t="n">
        <v>33311</v>
      </c>
      <c r="H21" s="5" t="s">
        <v>53</v>
      </c>
      <c r="I21" s="5" t="s">
        <v>54</v>
      </c>
      <c r="J21" s="5" t="s">
        <v>93</v>
      </c>
      <c r="K21" s="6" t="n">
        <v>234.53</v>
      </c>
      <c r="L21" s="5" t="n">
        <v>3</v>
      </c>
      <c r="M21" s="7" t="n">
        <v>0</v>
      </c>
      <c r="N21" s="6" t="n">
        <v>100.34</v>
      </c>
    </row>
    <row r="22" customFormat="false" ht="15" hidden="false" customHeight="false" outlineLevel="0" collapsed="false">
      <c r="A22" s="5" t="s">
        <v>111</v>
      </c>
      <c r="B22" s="5" t="s">
        <v>41</v>
      </c>
      <c r="C22" s="5" t="s">
        <v>42</v>
      </c>
      <c r="D22" s="5" t="s">
        <v>43</v>
      </c>
      <c r="E22" s="5" t="s">
        <v>112</v>
      </c>
      <c r="F22" s="5" t="s">
        <v>63</v>
      </c>
      <c r="G22" s="5" t="n">
        <v>75217</v>
      </c>
      <c r="H22" s="5" t="s">
        <v>64</v>
      </c>
      <c r="I22" s="5" t="s">
        <v>54</v>
      </c>
      <c r="J22" s="5" t="s">
        <v>73</v>
      </c>
      <c r="K22" s="6" t="n">
        <v>181.91</v>
      </c>
      <c r="L22" s="5" t="n">
        <v>4</v>
      </c>
      <c r="M22" s="7" t="n">
        <v>0.15</v>
      </c>
      <c r="N22" s="6" t="n">
        <v>41.13</v>
      </c>
    </row>
    <row r="23" customFormat="false" ht="15" hidden="false" customHeight="false" outlineLevel="0" collapsed="false">
      <c r="A23" s="5" t="s">
        <v>113</v>
      </c>
      <c r="B23" s="5" t="s">
        <v>83</v>
      </c>
      <c r="C23" s="5" t="s">
        <v>50</v>
      </c>
      <c r="D23" s="5" t="s">
        <v>43</v>
      </c>
      <c r="E23" s="5" t="s">
        <v>114</v>
      </c>
      <c r="F23" s="5" t="s">
        <v>115</v>
      </c>
      <c r="G23" s="5" t="n">
        <v>90036</v>
      </c>
      <c r="H23" s="5" t="s">
        <v>72</v>
      </c>
      <c r="I23" s="5" t="s">
        <v>65</v>
      </c>
      <c r="J23" s="5" t="s">
        <v>81</v>
      </c>
      <c r="K23" s="6" t="n">
        <v>68.88</v>
      </c>
      <c r="L23" s="5" t="n">
        <v>2</v>
      </c>
      <c r="M23" s="7" t="n">
        <v>0.2</v>
      </c>
      <c r="N23" s="6" t="n">
        <v>17.14</v>
      </c>
    </row>
    <row r="24" customFormat="false" ht="15" hidden="false" customHeight="false" outlineLevel="0" collapsed="false">
      <c r="A24" s="5" t="s">
        <v>116</v>
      </c>
      <c r="B24" s="5" t="s">
        <v>57</v>
      </c>
      <c r="C24" s="5" t="s">
        <v>50</v>
      </c>
      <c r="D24" s="5" t="s">
        <v>43</v>
      </c>
      <c r="E24" s="5" t="s">
        <v>107</v>
      </c>
      <c r="F24" s="5" t="s">
        <v>108</v>
      </c>
      <c r="G24" s="5" t="n">
        <v>7102</v>
      </c>
      <c r="H24" s="5" t="s">
        <v>46</v>
      </c>
      <c r="I24" s="5" t="s">
        <v>47</v>
      </c>
      <c r="J24" s="5" t="s">
        <v>86</v>
      </c>
      <c r="K24" s="6" t="n">
        <v>30.11</v>
      </c>
      <c r="L24" s="5" t="n">
        <v>9</v>
      </c>
      <c r="M24" s="7" t="n">
        <v>0.2</v>
      </c>
      <c r="N24" s="6" t="n">
        <v>-2.32</v>
      </c>
    </row>
    <row r="25" customFormat="false" ht="15" hidden="false" customHeight="false" outlineLevel="0" collapsed="false">
      <c r="A25" s="5" t="s">
        <v>117</v>
      </c>
      <c r="B25" s="5" t="s">
        <v>41</v>
      </c>
      <c r="C25" s="5" t="s">
        <v>42</v>
      </c>
      <c r="D25" s="5" t="s">
        <v>43</v>
      </c>
      <c r="E25" s="5" t="s">
        <v>118</v>
      </c>
      <c r="F25" s="5" t="s">
        <v>119</v>
      </c>
      <c r="G25" s="5" t="n">
        <v>98103</v>
      </c>
      <c r="H25" s="5" t="s">
        <v>72</v>
      </c>
      <c r="I25" s="5" t="s">
        <v>65</v>
      </c>
      <c r="J25" s="5" t="s">
        <v>120</v>
      </c>
      <c r="K25" s="6" t="n">
        <v>74.16</v>
      </c>
      <c r="L25" s="5" t="n">
        <v>5</v>
      </c>
      <c r="M25" s="7" t="n">
        <v>0.4</v>
      </c>
      <c r="N25" s="6" t="n">
        <v>2.67</v>
      </c>
    </row>
    <row r="26" customFormat="false" ht="15" hidden="false" customHeight="false" outlineLevel="0" collapsed="false">
      <c r="A26" s="5" t="s">
        <v>121</v>
      </c>
      <c r="B26" s="5" t="s">
        <v>83</v>
      </c>
      <c r="C26" s="5" t="s">
        <v>42</v>
      </c>
      <c r="D26" s="5" t="s">
        <v>43</v>
      </c>
      <c r="E26" s="5" t="s">
        <v>112</v>
      </c>
      <c r="F26" s="5" t="s">
        <v>63</v>
      </c>
      <c r="G26" s="5" t="n">
        <v>75217</v>
      </c>
      <c r="H26" s="5" t="s">
        <v>64</v>
      </c>
      <c r="I26" s="5" t="s">
        <v>65</v>
      </c>
      <c r="J26" s="5" t="s">
        <v>122</v>
      </c>
      <c r="K26" s="6" t="n">
        <v>55.61</v>
      </c>
      <c r="L26" s="5" t="n">
        <v>4</v>
      </c>
      <c r="M26" s="7" t="n">
        <v>0</v>
      </c>
      <c r="N26" s="6" t="n">
        <v>20.27</v>
      </c>
    </row>
    <row r="27" customFormat="false" ht="15" hidden="false" customHeight="false" outlineLevel="0" collapsed="false">
      <c r="A27" s="5" t="s">
        <v>123</v>
      </c>
      <c r="B27" s="5" t="s">
        <v>41</v>
      </c>
      <c r="C27" s="5" t="s">
        <v>42</v>
      </c>
      <c r="D27" s="5" t="s">
        <v>43</v>
      </c>
      <c r="E27" s="5" t="s">
        <v>58</v>
      </c>
      <c r="F27" s="5" t="s">
        <v>59</v>
      </c>
      <c r="G27" s="5" t="n">
        <v>30318</v>
      </c>
      <c r="H27" s="5" t="s">
        <v>53</v>
      </c>
      <c r="I27" s="5" t="s">
        <v>65</v>
      </c>
      <c r="J27" s="5" t="s">
        <v>124</v>
      </c>
      <c r="K27" s="6" t="n">
        <v>58.56</v>
      </c>
      <c r="L27" s="5" t="n">
        <v>9</v>
      </c>
      <c r="M27" s="7" t="n">
        <v>0.4</v>
      </c>
      <c r="N27" s="6" t="n">
        <v>4.18</v>
      </c>
    </row>
    <row r="28" customFormat="false" ht="15" hidden="false" customHeight="false" outlineLevel="0" collapsed="false">
      <c r="A28" s="5" t="s">
        <v>125</v>
      </c>
      <c r="B28" s="5" t="s">
        <v>57</v>
      </c>
      <c r="C28" s="5" t="s">
        <v>50</v>
      </c>
      <c r="D28" s="5" t="s">
        <v>43</v>
      </c>
      <c r="E28" s="5" t="s">
        <v>107</v>
      </c>
      <c r="F28" s="5" t="s">
        <v>108</v>
      </c>
      <c r="G28" s="5" t="n">
        <v>7102</v>
      </c>
      <c r="H28" s="5" t="s">
        <v>46</v>
      </c>
      <c r="I28" s="5" t="s">
        <v>54</v>
      </c>
      <c r="J28" s="5" t="s">
        <v>55</v>
      </c>
      <c r="K28" s="6" t="n">
        <v>85.6</v>
      </c>
      <c r="L28" s="5" t="n">
        <v>7</v>
      </c>
      <c r="M28" s="7" t="n">
        <v>0.2</v>
      </c>
      <c r="N28" s="6" t="n">
        <v>21.81</v>
      </c>
    </row>
    <row r="29" customFormat="false" ht="15" hidden="false" customHeight="false" outlineLevel="0" collapsed="false">
      <c r="A29" s="5" t="s">
        <v>126</v>
      </c>
      <c r="B29" s="5" t="s">
        <v>41</v>
      </c>
      <c r="C29" s="5" t="s">
        <v>42</v>
      </c>
      <c r="D29" s="5" t="s">
        <v>43</v>
      </c>
      <c r="E29" s="5" t="s">
        <v>44</v>
      </c>
      <c r="F29" s="5" t="s">
        <v>45</v>
      </c>
      <c r="G29" s="5" t="n">
        <v>10011</v>
      </c>
      <c r="H29" s="5" t="s">
        <v>46</v>
      </c>
      <c r="I29" s="5" t="s">
        <v>47</v>
      </c>
      <c r="J29" s="5" t="s">
        <v>60</v>
      </c>
      <c r="K29" s="6" t="n">
        <v>200</v>
      </c>
      <c r="L29" s="5" t="n">
        <v>5</v>
      </c>
      <c r="M29" s="7" t="n">
        <v>0</v>
      </c>
      <c r="N29" s="6" t="n">
        <v>23.68</v>
      </c>
    </row>
    <row r="30" customFormat="false" ht="15" hidden="false" customHeight="false" outlineLevel="0" collapsed="false">
      <c r="A30" s="5" t="s">
        <v>127</v>
      </c>
      <c r="B30" s="5" t="s">
        <v>57</v>
      </c>
      <c r="C30" s="5" t="s">
        <v>50</v>
      </c>
      <c r="D30" s="5" t="s">
        <v>43</v>
      </c>
      <c r="E30" s="5" t="s">
        <v>70</v>
      </c>
      <c r="F30" s="5" t="s">
        <v>71</v>
      </c>
      <c r="G30" s="5" t="n">
        <v>80219</v>
      </c>
      <c r="H30" s="5" t="s">
        <v>72</v>
      </c>
      <c r="I30" s="5" t="s">
        <v>47</v>
      </c>
      <c r="J30" s="5" t="s">
        <v>86</v>
      </c>
      <c r="K30" s="6" t="n">
        <v>21.27</v>
      </c>
      <c r="L30" s="5" t="n">
        <v>8</v>
      </c>
      <c r="M30" s="7" t="n">
        <v>0</v>
      </c>
      <c r="N30" s="6" t="n">
        <v>-0.52</v>
      </c>
    </row>
    <row r="31" customFormat="false" ht="15" hidden="false" customHeight="false" outlineLevel="0" collapsed="false">
      <c r="A31" s="5" t="s">
        <v>128</v>
      </c>
      <c r="B31" s="5" t="s">
        <v>41</v>
      </c>
      <c r="C31" s="5" t="s">
        <v>69</v>
      </c>
      <c r="D31" s="5" t="s">
        <v>43</v>
      </c>
      <c r="E31" s="5" t="s">
        <v>95</v>
      </c>
      <c r="F31" s="5" t="s">
        <v>96</v>
      </c>
      <c r="G31" s="5" t="n">
        <v>97206</v>
      </c>
      <c r="H31" s="5" t="s">
        <v>72</v>
      </c>
      <c r="I31" s="5" t="s">
        <v>65</v>
      </c>
      <c r="J31" s="5" t="s">
        <v>122</v>
      </c>
      <c r="K31" s="6" t="n">
        <v>11.89</v>
      </c>
      <c r="L31" s="5" t="n">
        <v>9</v>
      </c>
      <c r="M31" s="7" t="n">
        <v>0.2</v>
      </c>
      <c r="N31" s="6" t="n">
        <v>2.57</v>
      </c>
    </row>
    <row r="32" customFormat="false" ht="15" hidden="false" customHeight="false" outlineLevel="0" collapsed="false">
      <c r="A32" s="5" t="s">
        <v>129</v>
      </c>
      <c r="B32" s="5" t="s">
        <v>68</v>
      </c>
      <c r="C32" s="5" t="s">
        <v>50</v>
      </c>
      <c r="D32" s="5" t="s">
        <v>43</v>
      </c>
      <c r="E32" s="5" t="s">
        <v>104</v>
      </c>
      <c r="F32" s="5" t="s">
        <v>105</v>
      </c>
      <c r="G32" s="5" t="n">
        <v>28205</v>
      </c>
      <c r="H32" s="5" t="s">
        <v>53</v>
      </c>
      <c r="I32" s="5" t="s">
        <v>47</v>
      </c>
      <c r="J32" s="5" t="s">
        <v>86</v>
      </c>
      <c r="K32" s="6" t="n">
        <v>39.21</v>
      </c>
      <c r="L32" s="5" t="n">
        <v>6</v>
      </c>
      <c r="M32" s="7" t="n">
        <v>0</v>
      </c>
      <c r="N32" s="6" t="n">
        <v>3.34</v>
      </c>
    </row>
    <row r="33" customFormat="false" ht="15" hidden="false" customHeight="false" outlineLevel="0" collapsed="false">
      <c r="A33" s="5" t="s">
        <v>130</v>
      </c>
      <c r="B33" s="5" t="s">
        <v>41</v>
      </c>
      <c r="C33" s="5" t="s">
        <v>50</v>
      </c>
      <c r="D33" s="5" t="s">
        <v>43</v>
      </c>
      <c r="E33" s="5" t="s">
        <v>112</v>
      </c>
      <c r="F33" s="5" t="s">
        <v>63</v>
      </c>
      <c r="G33" s="5" t="n">
        <v>75217</v>
      </c>
      <c r="H33" s="5" t="s">
        <v>64</v>
      </c>
      <c r="I33" s="5" t="s">
        <v>47</v>
      </c>
      <c r="J33" s="5" t="s">
        <v>86</v>
      </c>
      <c r="K33" s="6" t="n">
        <v>25.91</v>
      </c>
      <c r="L33" s="5" t="n">
        <v>6</v>
      </c>
      <c r="M33" s="7" t="n">
        <v>0.7</v>
      </c>
      <c r="N33" s="6" t="n">
        <v>-2.62</v>
      </c>
    </row>
    <row r="34" customFormat="false" ht="15" hidden="false" customHeight="false" outlineLevel="0" collapsed="false">
      <c r="A34" s="5" t="s">
        <v>131</v>
      </c>
      <c r="B34" s="5" t="s">
        <v>68</v>
      </c>
      <c r="C34" s="5" t="s">
        <v>50</v>
      </c>
      <c r="D34" s="5" t="s">
        <v>43</v>
      </c>
      <c r="E34" s="5" t="s">
        <v>95</v>
      </c>
      <c r="F34" s="5" t="s">
        <v>96</v>
      </c>
      <c r="G34" s="5" t="n">
        <v>97206</v>
      </c>
      <c r="H34" s="5" t="s">
        <v>72</v>
      </c>
      <c r="I34" s="5" t="s">
        <v>47</v>
      </c>
      <c r="J34" s="5" t="s">
        <v>48</v>
      </c>
      <c r="K34" s="6" t="n">
        <v>23.49</v>
      </c>
      <c r="L34" s="5" t="n">
        <v>5</v>
      </c>
      <c r="M34" s="7" t="n">
        <v>0.15</v>
      </c>
      <c r="N34" s="6" t="n">
        <v>0.74</v>
      </c>
    </row>
    <row r="35" customFormat="false" ht="15" hidden="false" customHeight="false" outlineLevel="0" collapsed="false">
      <c r="A35" s="5" t="s">
        <v>132</v>
      </c>
      <c r="B35" s="5" t="s">
        <v>41</v>
      </c>
      <c r="C35" s="5" t="s">
        <v>69</v>
      </c>
      <c r="D35" s="5" t="s">
        <v>43</v>
      </c>
      <c r="E35" s="5" t="s">
        <v>100</v>
      </c>
      <c r="F35" s="5" t="s">
        <v>101</v>
      </c>
      <c r="G35" s="5" t="n">
        <v>19140</v>
      </c>
      <c r="H35" s="5" t="s">
        <v>46</v>
      </c>
      <c r="I35" s="5" t="s">
        <v>65</v>
      </c>
      <c r="J35" s="5" t="s">
        <v>133</v>
      </c>
      <c r="K35" s="6" t="n">
        <v>25.16</v>
      </c>
      <c r="L35" s="5" t="n">
        <v>9</v>
      </c>
      <c r="M35" s="7" t="n">
        <v>0.4</v>
      </c>
      <c r="N35" s="6" t="n">
        <v>5.62</v>
      </c>
    </row>
    <row r="36" customFormat="false" ht="15" hidden="false" customHeight="false" outlineLevel="0" collapsed="false">
      <c r="A36" s="5" t="s">
        <v>134</v>
      </c>
      <c r="B36" s="5" t="s">
        <v>57</v>
      </c>
      <c r="C36" s="5" t="s">
        <v>50</v>
      </c>
      <c r="D36" s="5" t="s">
        <v>43</v>
      </c>
      <c r="E36" s="5" t="s">
        <v>75</v>
      </c>
      <c r="F36" s="5" t="s">
        <v>76</v>
      </c>
      <c r="G36" s="5" t="n">
        <v>60610</v>
      </c>
      <c r="H36" s="5" t="s">
        <v>64</v>
      </c>
      <c r="I36" s="5" t="s">
        <v>47</v>
      </c>
      <c r="J36" s="5" t="s">
        <v>86</v>
      </c>
      <c r="K36" s="6" t="n">
        <v>35.06</v>
      </c>
      <c r="L36" s="5" t="n">
        <v>3</v>
      </c>
      <c r="M36" s="7" t="n">
        <v>0.1</v>
      </c>
      <c r="N36" s="6" t="n">
        <v>1.15</v>
      </c>
    </row>
    <row r="37" customFormat="false" ht="15" hidden="false" customHeight="false" outlineLevel="0" collapsed="false">
      <c r="A37" s="5" t="s">
        <v>135</v>
      </c>
      <c r="B37" s="5" t="s">
        <v>41</v>
      </c>
      <c r="C37" s="5" t="s">
        <v>50</v>
      </c>
      <c r="D37" s="5" t="s">
        <v>43</v>
      </c>
      <c r="E37" s="5" t="s">
        <v>79</v>
      </c>
      <c r="F37" s="5" t="s">
        <v>80</v>
      </c>
      <c r="G37" s="5" t="n">
        <v>2127</v>
      </c>
      <c r="H37" s="5" t="s">
        <v>46</v>
      </c>
      <c r="I37" s="5" t="s">
        <v>54</v>
      </c>
      <c r="J37" s="5" t="s">
        <v>55</v>
      </c>
      <c r="K37" s="6" t="n">
        <v>116.99</v>
      </c>
      <c r="L37" s="5" t="n">
        <v>4</v>
      </c>
      <c r="M37" s="7" t="n">
        <v>0.1</v>
      </c>
      <c r="N37" s="6" t="n">
        <v>30.73</v>
      </c>
    </row>
    <row r="38" customFormat="false" ht="15" hidden="false" customHeight="false" outlineLevel="0" collapsed="false">
      <c r="A38" s="5" t="s">
        <v>136</v>
      </c>
      <c r="B38" s="5" t="s">
        <v>68</v>
      </c>
      <c r="C38" s="5" t="s">
        <v>69</v>
      </c>
      <c r="D38" s="5" t="s">
        <v>43</v>
      </c>
      <c r="E38" s="5" t="s">
        <v>95</v>
      </c>
      <c r="F38" s="5" t="s">
        <v>96</v>
      </c>
      <c r="G38" s="5" t="n">
        <v>97206</v>
      </c>
      <c r="H38" s="5" t="s">
        <v>72</v>
      </c>
      <c r="I38" s="5" t="s">
        <v>47</v>
      </c>
      <c r="J38" s="5" t="s">
        <v>48</v>
      </c>
      <c r="K38" s="6" t="n">
        <v>144.28</v>
      </c>
      <c r="L38" s="5" t="n">
        <v>8</v>
      </c>
      <c r="M38" s="7" t="n">
        <v>0</v>
      </c>
      <c r="N38" s="6" t="n">
        <v>22.43</v>
      </c>
    </row>
    <row r="39" customFormat="false" ht="15" hidden="false" customHeight="false" outlineLevel="0" collapsed="false">
      <c r="A39" s="5" t="s">
        <v>137</v>
      </c>
      <c r="B39" s="5" t="s">
        <v>68</v>
      </c>
      <c r="C39" s="5" t="s">
        <v>42</v>
      </c>
      <c r="D39" s="5" t="s">
        <v>43</v>
      </c>
      <c r="E39" s="5" t="s">
        <v>91</v>
      </c>
      <c r="F39" s="5" t="s">
        <v>92</v>
      </c>
      <c r="G39" s="5" t="n">
        <v>33311</v>
      </c>
      <c r="H39" s="5" t="s">
        <v>53</v>
      </c>
      <c r="I39" s="5" t="s">
        <v>65</v>
      </c>
      <c r="J39" s="5" t="s">
        <v>138</v>
      </c>
      <c r="K39" s="6" t="n">
        <v>73.2</v>
      </c>
      <c r="L39" s="5" t="n">
        <v>3</v>
      </c>
      <c r="M39" s="7" t="n">
        <v>0</v>
      </c>
      <c r="N39" s="6" t="n">
        <v>22.48</v>
      </c>
    </row>
    <row r="40" customFormat="false" ht="15" hidden="false" customHeight="false" outlineLevel="0" collapsed="false">
      <c r="A40" s="5" t="s">
        <v>139</v>
      </c>
      <c r="B40" s="5" t="s">
        <v>68</v>
      </c>
      <c r="C40" s="5" t="s">
        <v>42</v>
      </c>
      <c r="D40" s="5" t="s">
        <v>43</v>
      </c>
      <c r="E40" s="5" t="s">
        <v>104</v>
      </c>
      <c r="F40" s="5" t="s">
        <v>105</v>
      </c>
      <c r="G40" s="5" t="n">
        <v>28205</v>
      </c>
      <c r="H40" s="5" t="s">
        <v>53</v>
      </c>
      <c r="I40" s="5" t="s">
        <v>65</v>
      </c>
      <c r="J40" s="5" t="s">
        <v>133</v>
      </c>
      <c r="K40" s="6" t="n">
        <v>39.65</v>
      </c>
      <c r="L40" s="5" t="n">
        <v>3</v>
      </c>
      <c r="M40" s="7" t="n">
        <v>0.15</v>
      </c>
      <c r="N40" s="6" t="n">
        <v>13.42</v>
      </c>
    </row>
    <row r="41" customFormat="false" ht="15" hidden="false" customHeight="false" outlineLevel="0" collapsed="false">
      <c r="A41" s="5" t="s">
        <v>140</v>
      </c>
      <c r="B41" s="5" t="s">
        <v>41</v>
      </c>
      <c r="C41" s="5" t="s">
        <v>69</v>
      </c>
      <c r="D41" s="5" t="s">
        <v>43</v>
      </c>
      <c r="E41" s="5" t="s">
        <v>70</v>
      </c>
      <c r="F41" s="5" t="s">
        <v>71</v>
      </c>
      <c r="G41" s="5" t="n">
        <v>80219</v>
      </c>
      <c r="H41" s="5" t="s">
        <v>72</v>
      </c>
      <c r="I41" s="5" t="s">
        <v>47</v>
      </c>
      <c r="J41" s="5" t="s">
        <v>48</v>
      </c>
      <c r="K41" s="6" t="n">
        <v>156.24</v>
      </c>
      <c r="L41" s="5" t="n">
        <v>3</v>
      </c>
      <c r="M41" s="7" t="n">
        <v>0.2</v>
      </c>
      <c r="N41" s="6" t="n">
        <v>13.51</v>
      </c>
    </row>
    <row r="42" customFormat="false" ht="15" hidden="false" customHeight="false" outlineLevel="0" collapsed="false">
      <c r="A42" s="5" t="s">
        <v>141</v>
      </c>
      <c r="B42" s="5" t="s">
        <v>41</v>
      </c>
      <c r="C42" s="5" t="s">
        <v>42</v>
      </c>
      <c r="D42" s="5" t="s">
        <v>43</v>
      </c>
      <c r="E42" s="5" t="s">
        <v>62</v>
      </c>
      <c r="F42" s="5" t="s">
        <v>63</v>
      </c>
      <c r="G42" s="5" t="n">
        <v>77095</v>
      </c>
      <c r="H42" s="5" t="s">
        <v>64</v>
      </c>
      <c r="I42" s="5" t="s">
        <v>47</v>
      </c>
      <c r="J42" s="5" t="s">
        <v>84</v>
      </c>
      <c r="K42" s="6" t="n">
        <v>411.26</v>
      </c>
      <c r="L42" s="5" t="n">
        <v>1</v>
      </c>
      <c r="M42" s="7" t="n">
        <v>0.1</v>
      </c>
      <c r="N42" s="6" t="n">
        <v>-34.11</v>
      </c>
    </row>
    <row r="43" customFormat="false" ht="15" hidden="false" customHeight="false" outlineLevel="0" collapsed="false">
      <c r="A43" s="5" t="s">
        <v>142</v>
      </c>
      <c r="B43" s="5" t="s">
        <v>68</v>
      </c>
      <c r="C43" s="5" t="s">
        <v>69</v>
      </c>
      <c r="D43" s="5" t="s">
        <v>43</v>
      </c>
      <c r="E43" s="5" t="s">
        <v>62</v>
      </c>
      <c r="F43" s="5" t="s">
        <v>63</v>
      </c>
      <c r="G43" s="5" t="n">
        <v>77095</v>
      </c>
      <c r="H43" s="5" t="s">
        <v>64</v>
      </c>
      <c r="I43" s="5" t="s">
        <v>65</v>
      </c>
      <c r="J43" s="5" t="s">
        <v>133</v>
      </c>
      <c r="K43" s="6" t="n">
        <v>95.53</v>
      </c>
      <c r="L43" s="5" t="n">
        <v>9</v>
      </c>
      <c r="M43" s="7" t="n">
        <v>0.7</v>
      </c>
      <c r="N43" s="6" t="n">
        <v>-1.62</v>
      </c>
    </row>
    <row r="44" customFormat="false" ht="15" hidden="false" customHeight="false" outlineLevel="0" collapsed="false">
      <c r="A44" s="5" t="s">
        <v>143</v>
      </c>
      <c r="B44" s="5" t="s">
        <v>83</v>
      </c>
      <c r="C44" s="5" t="s">
        <v>50</v>
      </c>
      <c r="D44" s="5" t="s">
        <v>43</v>
      </c>
      <c r="E44" s="5" t="s">
        <v>62</v>
      </c>
      <c r="F44" s="5" t="s">
        <v>63</v>
      </c>
      <c r="G44" s="5" t="n">
        <v>77095</v>
      </c>
      <c r="H44" s="5" t="s">
        <v>64</v>
      </c>
      <c r="I44" s="5" t="s">
        <v>47</v>
      </c>
      <c r="J44" s="5" t="s">
        <v>84</v>
      </c>
      <c r="K44" s="6" t="n">
        <v>171.24</v>
      </c>
      <c r="L44" s="5" t="n">
        <v>6</v>
      </c>
      <c r="M44" s="7" t="n">
        <v>0.7</v>
      </c>
      <c r="N44" s="6" t="n">
        <v>25.15</v>
      </c>
    </row>
    <row r="45" customFormat="false" ht="15" hidden="false" customHeight="false" outlineLevel="0" collapsed="false">
      <c r="A45" s="5" t="s">
        <v>144</v>
      </c>
      <c r="B45" s="5" t="s">
        <v>68</v>
      </c>
      <c r="C45" s="5" t="s">
        <v>42</v>
      </c>
      <c r="D45" s="5" t="s">
        <v>43</v>
      </c>
      <c r="E45" s="5" t="s">
        <v>104</v>
      </c>
      <c r="F45" s="5" t="s">
        <v>105</v>
      </c>
      <c r="G45" s="5" t="n">
        <v>28205</v>
      </c>
      <c r="H45" s="5" t="s">
        <v>53</v>
      </c>
      <c r="I45" s="5" t="s">
        <v>65</v>
      </c>
      <c r="J45" s="5" t="s">
        <v>122</v>
      </c>
      <c r="K45" s="6" t="n">
        <v>11.27</v>
      </c>
      <c r="L45" s="5" t="n">
        <v>3</v>
      </c>
      <c r="M45" s="7" t="n">
        <v>0.2</v>
      </c>
      <c r="N45" s="6" t="n">
        <v>2.53</v>
      </c>
    </row>
    <row r="46" customFormat="false" ht="15" hidden="false" customHeight="false" outlineLevel="0" collapsed="false">
      <c r="A46" s="5" t="s">
        <v>145</v>
      </c>
      <c r="B46" s="5" t="s">
        <v>41</v>
      </c>
      <c r="C46" s="5" t="s">
        <v>69</v>
      </c>
      <c r="D46" s="5" t="s">
        <v>43</v>
      </c>
      <c r="E46" s="5" t="s">
        <v>114</v>
      </c>
      <c r="F46" s="5" t="s">
        <v>115</v>
      </c>
      <c r="G46" s="5" t="n">
        <v>90036</v>
      </c>
      <c r="H46" s="5" t="s">
        <v>72</v>
      </c>
      <c r="I46" s="5" t="s">
        <v>65</v>
      </c>
      <c r="J46" s="5" t="s">
        <v>122</v>
      </c>
      <c r="K46" s="6" t="n">
        <v>7.04</v>
      </c>
      <c r="L46" s="5" t="n">
        <v>1</v>
      </c>
      <c r="M46" s="7" t="n">
        <v>0</v>
      </c>
      <c r="N46" s="6" t="n">
        <v>2.67</v>
      </c>
    </row>
    <row r="47" customFormat="false" ht="15" hidden="false" customHeight="false" outlineLevel="0" collapsed="false">
      <c r="A47" s="5" t="s">
        <v>146</v>
      </c>
      <c r="B47" s="5" t="s">
        <v>41</v>
      </c>
      <c r="C47" s="5" t="s">
        <v>42</v>
      </c>
      <c r="D47" s="5" t="s">
        <v>43</v>
      </c>
      <c r="E47" s="5" t="s">
        <v>100</v>
      </c>
      <c r="F47" s="5" t="s">
        <v>101</v>
      </c>
      <c r="G47" s="5" t="n">
        <v>19140</v>
      </c>
      <c r="H47" s="5" t="s">
        <v>46</v>
      </c>
      <c r="I47" s="5" t="s">
        <v>65</v>
      </c>
      <c r="J47" s="5" t="s">
        <v>66</v>
      </c>
      <c r="K47" s="6" t="n">
        <v>25.45</v>
      </c>
      <c r="L47" s="5" t="n">
        <v>5</v>
      </c>
      <c r="M47" s="7" t="n">
        <v>0.1</v>
      </c>
      <c r="N47" s="6" t="n">
        <v>4.14</v>
      </c>
    </row>
    <row r="48" customFormat="false" ht="15" hidden="false" customHeight="false" outlineLevel="0" collapsed="false">
      <c r="A48" s="5" t="s">
        <v>147</v>
      </c>
      <c r="B48" s="5" t="s">
        <v>41</v>
      </c>
      <c r="C48" s="5" t="s">
        <v>50</v>
      </c>
      <c r="D48" s="5" t="s">
        <v>43</v>
      </c>
      <c r="E48" s="5" t="s">
        <v>100</v>
      </c>
      <c r="F48" s="5" t="s">
        <v>101</v>
      </c>
      <c r="G48" s="5" t="n">
        <v>19140</v>
      </c>
      <c r="H48" s="5" t="s">
        <v>46</v>
      </c>
      <c r="I48" s="5" t="s">
        <v>47</v>
      </c>
      <c r="J48" s="5" t="s">
        <v>48</v>
      </c>
      <c r="K48" s="6" t="n">
        <v>278.77</v>
      </c>
      <c r="L48" s="5" t="n">
        <v>3</v>
      </c>
      <c r="M48" s="7" t="n">
        <v>0</v>
      </c>
      <c r="N48" s="6" t="n">
        <v>25.13</v>
      </c>
    </row>
    <row r="49" customFormat="false" ht="15" hidden="false" customHeight="false" outlineLevel="0" collapsed="false">
      <c r="A49" s="5" t="s">
        <v>148</v>
      </c>
      <c r="B49" s="5" t="s">
        <v>41</v>
      </c>
      <c r="C49" s="5" t="s">
        <v>69</v>
      </c>
      <c r="D49" s="5" t="s">
        <v>43</v>
      </c>
      <c r="E49" s="5" t="s">
        <v>62</v>
      </c>
      <c r="F49" s="5" t="s">
        <v>63</v>
      </c>
      <c r="G49" s="5" t="n">
        <v>77095</v>
      </c>
      <c r="H49" s="5" t="s">
        <v>64</v>
      </c>
      <c r="I49" s="5" t="s">
        <v>54</v>
      </c>
      <c r="J49" s="5" t="s">
        <v>73</v>
      </c>
      <c r="K49" s="6" t="n">
        <v>149.2</v>
      </c>
      <c r="L49" s="5" t="n">
        <v>3</v>
      </c>
      <c r="M49" s="7" t="n">
        <v>0</v>
      </c>
      <c r="N49" s="6" t="n">
        <v>-28.3</v>
      </c>
    </row>
    <row r="50" customFormat="false" ht="15" hidden="false" customHeight="false" outlineLevel="0" collapsed="false">
      <c r="A50" s="5" t="s">
        <v>149</v>
      </c>
      <c r="B50" s="5" t="s">
        <v>41</v>
      </c>
      <c r="C50" s="5" t="s">
        <v>42</v>
      </c>
      <c r="D50" s="5" t="s">
        <v>43</v>
      </c>
      <c r="E50" s="5" t="s">
        <v>95</v>
      </c>
      <c r="F50" s="5" t="s">
        <v>96</v>
      </c>
      <c r="G50" s="5" t="n">
        <v>97206</v>
      </c>
      <c r="H50" s="5" t="s">
        <v>72</v>
      </c>
      <c r="I50" s="5" t="s">
        <v>47</v>
      </c>
      <c r="J50" s="5" t="s">
        <v>60</v>
      </c>
      <c r="K50" s="6" t="n">
        <v>38.66</v>
      </c>
      <c r="L50" s="5" t="n">
        <v>1</v>
      </c>
      <c r="M50" s="7" t="n">
        <v>0.15</v>
      </c>
      <c r="N50" s="6" t="n">
        <v>2.61</v>
      </c>
    </row>
    <row r="51" customFormat="false" ht="15" hidden="false" customHeight="false" outlineLevel="0" collapsed="false">
      <c r="A51" s="5" t="s">
        <v>150</v>
      </c>
      <c r="B51" s="5" t="s">
        <v>57</v>
      </c>
      <c r="C51" s="5" t="s">
        <v>42</v>
      </c>
      <c r="D51" s="5" t="s">
        <v>43</v>
      </c>
      <c r="E51" s="5" t="s">
        <v>62</v>
      </c>
      <c r="F51" s="5" t="s">
        <v>63</v>
      </c>
      <c r="G51" s="5" t="n">
        <v>77095</v>
      </c>
      <c r="H51" s="5" t="s">
        <v>64</v>
      </c>
      <c r="I51" s="5" t="s">
        <v>47</v>
      </c>
      <c r="J51" s="5" t="s">
        <v>84</v>
      </c>
      <c r="K51" s="6" t="n">
        <v>313.3</v>
      </c>
      <c r="L51" s="5" t="n">
        <v>2</v>
      </c>
      <c r="M51" s="7" t="n">
        <v>0</v>
      </c>
      <c r="N51" s="6" t="n">
        <v>6.13</v>
      </c>
    </row>
    <row r="52" customFormat="false" ht="15" hidden="false" customHeight="false" outlineLevel="0" collapsed="false">
      <c r="A52" s="5" t="s">
        <v>151</v>
      </c>
      <c r="B52" s="5" t="s">
        <v>57</v>
      </c>
      <c r="C52" s="5" t="s">
        <v>50</v>
      </c>
      <c r="D52" s="5" t="s">
        <v>43</v>
      </c>
      <c r="E52" s="5" t="s">
        <v>75</v>
      </c>
      <c r="F52" s="5" t="s">
        <v>76</v>
      </c>
      <c r="G52" s="5" t="n">
        <v>60610</v>
      </c>
      <c r="H52" s="5" t="s">
        <v>64</v>
      </c>
      <c r="I52" s="5" t="s">
        <v>47</v>
      </c>
      <c r="J52" s="5" t="s">
        <v>48</v>
      </c>
      <c r="K52" s="6" t="n">
        <v>154.56</v>
      </c>
      <c r="L52" s="5" t="n">
        <v>4</v>
      </c>
      <c r="M52" s="7" t="n">
        <v>0.3</v>
      </c>
      <c r="N52" s="6" t="n">
        <v>-18.32</v>
      </c>
    </row>
    <row r="53" customFormat="false" ht="15" hidden="false" customHeight="false" outlineLevel="0" collapsed="false">
      <c r="A53" s="5" t="s">
        <v>152</v>
      </c>
      <c r="B53" s="5" t="s">
        <v>83</v>
      </c>
      <c r="C53" s="5" t="s">
        <v>42</v>
      </c>
      <c r="D53" s="5" t="s">
        <v>43</v>
      </c>
      <c r="E53" s="5" t="s">
        <v>107</v>
      </c>
      <c r="F53" s="5" t="s">
        <v>108</v>
      </c>
      <c r="G53" s="5" t="n">
        <v>7102</v>
      </c>
      <c r="H53" s="5" t="s">
        <v>46</v>
      </c>
      <c r="I53" s="5" t="s">
        <v>47</v>
      </c>
      <c r="J53" s="5" t="s">
        <v>84</v>
      </c>
      <c r="K53" s="6" t="n">
        <v>251.27</v>
      </c>
      <c r="L53" s="5" t="n">
        <v>9</v>
      </c>
      <c r="M53" s="7" t="n">
        <v>0.1</v>
      </c>
      <c r="N53" s="6" t="n">
        <v>-15.08</v>
      </c>
    </row>
    <row r="54" customFormat="false" ht="15" hidden="false" customHeight="false" outlineLevel="0" collapsed="false">
      <c r="A54" s="5" t="s">
        <v>153</v>
      </c>
      <c r="B54" s="5" t="s">
        <v>83</v>
      </c>
      <c r="C54" s="5" t="s">
        <v>50</v>
      </c>
      <c r="D54" s="5" t="s">
        <v>43</v>
      </c>
      <c r="E54" s="5" t="s">
        <v>70</v>
      </c>
      <c r="F54" s="5" t="s">
        <v>71</v>
      </c>
      <c r="G54" s="5" t="n">
        <v>80219</v>
      </c>
      <c r="H54" s="5" t="s">
        <v>72</v>
      </c>
      <c r="I54" s="5" t="s">
        <v>65</v>
      </c>
      <c r="J54" s="5" t="s">
        <v>66</v>
      </c>
      <c r="K54" s="6" t="n">
        <v>87.3</v>
      </c>
      <c r="L54" s="5" t="n">
        <v>3</v>
      </c>
      <c r="M54" s="7" t="n">
        <v>0.5</v>
      </c>
      <c r="N54" s="6" t="n">
        <v>-6.59</v>
      </c>
    </row>
    <row r="55" customFormat="false" ht="15" hidden="false" customHeight="false" outlineLevel="0" collapsed="false">
      <c r="A55" s="5" t="s">
        <v>154</v>
      </c>
      <c r="B55" s="5" t="s">
        <v>68</v>
      </c>
      <c r="C55" s="5" t="s">
        <v>50</v>
      </c>
      <c r="D55" s="5" t="s">
        <v>43</v>
      </c>
      <c r="E55" s="5" t="s">
        <v>79</v>
      </c>
      <c r="F55" s="5" t="s">
        <v>80</v>
      </c>
      <c r="G55" s="5" t="n">
        <v>2127</v>
      </c>
      <c r="H55" s="5" t="s">
        <v>46</v>
      </c>
      <c r="I55" s="5" t="s">
        <v>54</v>
      </c>
      <c r="J55" s="5" t="s">
        <v>93</v>
      </c>
      <c r="K55" s="6" t="n">
        <v>39.55</v>
      </c>
      <c r="L55" s="5" t="n">
        <v>2</v>
      </c>
      <c r="M55" s="7" t="n">
        <v>0.7</v>
      </c>
      <c r="N55" s="6" t="n">
        <v>3.39</v>
      </c>
    </row>
    <row r="56" customFormat="false" ht="15" hidden="false" customHeight="false" outlineLevel="0" collapsed="false">
      <c r="A56" s="5" t="s">
        <v>155</v>
      </c>
      <c r="B56" s="5" t="s">
        <v>83</v>
      </c>
      <c r="C56" s="5" t="s">
        <v>42</v>
      </c>
      <c r="D56" s="5" t="s">
        <v>43</v>
      </c>
      <c r="E56" s="5" t="s">
        <v>58</v>
      </c>
      <c r="F56" s="5" t="s">
        <v>59</v>
      </c>
      <c r="G56" s="5" t="n">
        <v>30318</v>
      </c>
      <c r="H56" s="5" t="s">
        <v>53</v>
      </c>
      <c r="I56" s="5" t="s">
        <v>54</v>
      </c>
      <c r="J56" s="5" t="s">
        <v>73</v>
      </c>
      <c r="K56" s="6" t="n">
        <v>106.14</v>
      </c>
      <c r="L56" s="5" t="n">
        <v>9</v>
      </c>
      <c r="M56" s="7" t="n">
        <v>0.5</v>
      </c>
      <c r="N56" s="6" t="n">
        <v>0.35</v>
      </c>
    </row>
    <row r="57" customFormat="false" ht="15" hidden="false" customHeight="false" outlineLevel="0" collapsed="false">
      <c r="A57" s="5" t="s">
        <v>156</v>
      </c>
      <c r="B57" s="5" t="s">
        <v>83</v>
      </c>
      <c r="C57" s="5" t="s">
        <v>50</v>
      </c>
      <c r="D57" s="5" t="s">
        <v>43</v>
      </c>
      <c r="E57" s="5" t="s">
        <v>95</v>
      </c>
      <c r="F57" s="5" t="s">
        <v>96</v>
      </c>
      <c r="G57" s="5" t="n">
        <v>97206</v>
      </c>
      <c r="H57" s="5" t="s">
        <v>72</v>
      </c>
      <c r="I57" s="5" t="s">
        <v>65</v>
      </c>
      <c r="J57" s="5" t="s">
        <v>109</v>
      </c>
      <c r="K57" s="6" t="n">
        <v>265.99</v>
      </c>
      <c r="L57" s="5" t="n">
        <v>3</v>
      </c>
      <c r="M57" s="7" t="n">
        <v>0.2</v>
      </c>
      <c r="N57" s="6" t="n">
        <v>35.93</v>
      </c>
    </row>
    <row r="58" customFormat="false" ht="15" hidden="false" customHeight="false" outlineLevel="0" collapsed="false">
      <c r="A58" s="5" t="s">
        <v>157</v>
      </c>
      <c r="B58" s="5" t="s">
        <v>57</v>
      </c>
      <c r="C58" s="5" t="s">
        <v>42</v>
      </c>
      <c r="D58" s="5" t="s">
        <v>43</v>
      </c>
      <c r="E58" s="5" t="s">
        <v>75</v>
      </c>
      <c r="F58" s="5" t="s">
        <v>76</v>
      </c>
      <c r="G58" s="5" t="n">
        <v>60610</v>
      </c>
      <c r="H58" s="5" t="s">
        <v>64</v>
      </c>
      <c r="I58" s="5" t="s">
        <v>65</v>
      </c>
      <c r="J58" s="5" t="s">
        <v>81</v>
      </c>
      <c r="K58" s="6" t="n">
        <v>36.83</v>
      </c>
      <c r="L58" s="5" t="n">
        <v>1</v>
      </c>
      <c r="M58" s="7" t="n">
        <v>0.1</v>
      </c>
      <c r="N58" s="6" t="n">
        <v>9.29</v>
      </c>
    </row>
    <row r="59" customFormat="false" ht="15" hidden="false" customHeight="false" outlineLevel="0" collapsed="false">
      <c r="A59" s="5" t="s">
        <v>158</v>
      </c>
      <c r="B59" s="5" t="s">
        <v>41</v>
      </c>
      <c r="C59" s="5" t="s">
        <v>50</v>
      </c>
      <c r="D59" s="5" t="s">
        <v>43</v>
      </c>
      <c r="E59" s="5" t="s">
        <v>112</v>
      </c>
      <c r="F59" s="5" t="s">
        <v>63</v>
      </c>
      <c r="G59" s="5" t="n">
        <v>75217</v>
      </c>
      <c r="H59" s="5" t="s">
        <v>64</v>
      </c>
      <c r="I59" s="5" t="s">
        <v>65</v>
      </c>
      <c r="J59" s="5" t="s">
        <v>109</v>
      </c>
      <c r="K59" s="6" t="n">
        <v>126.68</v>
      </c>
      <c r="L59" s="5" t="n">
        <v>6</v>
      </c>
      <c r="M59" s="7" t="n">
        <v>0</v>
      </c>
      <c r="N59" s="6" t="n">
        <v>33.24</v>
      </c>
    </row>
    <row r="60" customFormat="false" ht="15" hidden="false" customHeight="false" outlineLevel="0" collapsed="false">
      <c r="A60" s="5" t="s">
        <v>159</v>
      </c>
      <c r="B60" s="5" t="s">
        <v>83</v>
      </c>
      <c r="C60" s="5" t="s">
        <v>50</v>
      </c>
      <c r="D60" s="5" t="s">
        <v>43</v>
      </c>
      <c r="E60" s="5" t="s">
        <v>58</v>
      </c>
      <c r="F60" s="5" t="s">
        <v>59</v>
      </c>
      <c r="G60" s="5" t="n">
        <v>30318</v>
      </c>
      <c r="H60" s="5" t="s">
        <v>53</v>
      </c>
      <c r="I60" s="5" t="s">
        <v>54</v>
      </c>
      <c r="J60" s="5" t="s">
        <v>93</v>
      </c>
      <c r="K60" s="6" t="n">
        <v>253.9</v>
      </c>
      <c r="L60" s="5" t="n">
        <v>8</v>
      </c>
      <c r="M60" s="7" t="n">
        <v>0.7</v>
      </c>
      <c r="N60" s="6" t="n">
        <v>26.11</v>
      </c>
    </row>
    <row r="61" customFormat="false" ht="15" hidden="false" customHeight="false" outlineLevel="0" collapsed="false">
      <c r="A61" s="5" t="s">
        <v>160</v>
      </c>
      <c r="B61" s="5" t="s">
        <v>83</v>
      </c>
      <c r="C61" s="5" t="s">
        <v>42</v>
      </c>
      <c r="D61" s="5" t="s">
        <v>43</v>
      </c>
      <c r="E61" s="5" t="s">
        <v>75</v>
      </c>
      <c r="F61" s="5" t="s">
        <v>76</v>
      </c>
      <c r="G61" s="5" t="n">
        <v>60610</v>
      </c>
      <c r="H61" s="5" t="s">
        <v>64</v>
      </c>
      <c r="I61" s="5" t="s">
        <v>65</v>
      </c>
      <c r="J61" s="5" t="s">
        <v>138</v>
      </c>
      <c r="K61" s="6" t="n">
        <v>166.38</v>
      </c>
      <c r="L61" s="5" t="n">
        <v>2</v>
      </c>
      <c r="M61" s="7" t="n">
        <v>0.3</v>
      </c>
      <c r="N61" s="6" t="n">
        <v>5.95</v>
      </c>
    </row>
    <row r="62" customFormat="false" ht="15" hidden="false" customHeight="false" outlineLevel="0" collapsed="false">
      <c r="A62" s="5" t="s">
        <v>161</v>
      </c>
      <c r="B62" s="5" t="s">
        <v>41</v>
      </c>
      <c r="C62" s="5" t="s">
        <v>69</v>
      </c>
      <c r="D62" s="5" t="s">
        <v>43</v>
      </c>
      <c r="E62" s="5" t="s">
        <v>62</v>
      </c>
      <c r="F62" s="5" t="s">
        <v>63</v>
      </c>
      <c r="G62" s="5" t="n">
        <v>77095</v>
      </c>
      <c r="H62" s="5" t="s">
        <v>64</v>
      </c>
      <c r="I62" s="5" t="s">
        <v>47</v>
      </c>
      <c r="J62" s="5" t="s">
        <v>84</v>
      </c>
      <c r="K62" s="6" t="n">
        <v>130.11</v>
      </c>
      <c r="L62" s="5" t="n">
        <v>6</v>
      </c>
      <c r="M62" s="7" t="n">
        <v>0</v>
      </c>
      <c r="N62" s="6" t="n">
        <v>2.65</v>
      </c>
    </row>
    <row r="63" customFormat="false" ht="15" hidden="false" customHeight="false" outlineLevel="0" collapsed="false">
      <c r="A63" s="5" t="s">
        <v>162</v>
      </c>
      <c r="B63" s="5" t="s">
        <v>83</v>
      </c>
      <c r="C63" s="5" t="s">
        <v>42</v>
      </c>
      <c r="D63" s="5" t="s">
        <v>43</v>
      </c>
      <c r="E63" s="5" t="s">
        <v>100</v>
      </c>
      <c r="F63" s="5" t="s">
        <v>101</v>
      </c>
      <c r="G63" s="5" t="n">
        <v>19140</v>
      </c>
      <c r="H63" s="5" t="s">
        <v>46</v>
      </c>
      <c r="I63" s="5" t="s">
        <v>65</v>
      </c>
      <c r="J63" s="5" t="s">
        <v>133</v>
      </c>
      <c r="K63" s="6" t="n">
        <v>16.19</v>
      </c>
      <c r="L63" s="5" t="n">
        <v>7</v>
      </c>
      <c r="M63" s="7" t="n">
        <v>0</v>
      </c>
      <c r="N63" s="6" t="n">
        <v>-0.15</v>
      </c>
    </row>
    <row r="64" customFormat="false" ht="15" hidden="false" customHeight="false" outlineLevel="0" collapsed="false">
      <c r="A64" s="5" t="s">
        <v>163</v>
      </c>
      <c r="B64" s="5" t="s">
        <v>57</v>
      </c>
      <c r="C64" s="5" t="s">
        <v>50</v>
      </c>
      <c r="D64" s="5" t="s">
        <v>43</v>
      </c>
      <c r="E64" s="5" t="s">
        <v>107</v>
      </c>
      <c r="F64" s="5" t="s">
        <v>108</v>
      </c>
      <c r="G64" s="5" t="n">
        <v>7102</v>
      </c>
      <c r="H64" s="5" t="s">
        <v>46</v>
      </c>
      <c r="I64" s="5" t="s">
        <v>54</v>
      </c>
      <c r="J64" s="5" t="s">
        <v>73</v>
      </c>
      <c r="K64" s="6" t="n">
        <v>26.24</v>
      </c>
      <c r="L64" s="5" t="n">
        <v>9</v>
      </c>
      <c r="M64" s="7" t="n">
        <v>0.4</v>
      </c>
      <c r="N64" s="6" t="n">
        <v>2.43</v>
      </c>
    </row>
    <row r="65" customFormat="false" ht="15" hidden="false" customHeight="false" outlineLevel="0" collapsed="false">
      <c r="A65" s="5" t="s">
        <v>164</v>
      </c>
      <c r="B65" s="5" t="s">
        <v>41</v>
      </c>
      <c r="C65" s="5" t="s">
        <v>50</v>
      </c>
      <c r="D65" s="5" t="s">
        <v>43</v>
      </c>
      <c r="E65" s="5" t="s">
        <v>118</v>
      </c>
      <c r="F65" s="5" t="s">
        <v>119</v>
      </c>
      <c r="G65" s="5" t="n">
        <v>98103</v>
      </c>
      <c r="H65" s="5" t="s">
        <v>72</v>
      </c>
      <c r="I65" s="5" t="s">
        <v>54</v>
      </c>
      <c r="J65" s="5" t="s">
        <v>55</v>
      </c>
      <c r="K65" s="6" t="n">
        <v>29.49</v>
      </c>
      <c r="L65" s="5" t="n">
        <v>5</v>
      </c>
      <c r="M65" s="7" t="n">
        <v>0.1</v>
      </c>
      <c r="N65" s="6" t="n">
        <v>11.36</v>
      </c>
    </row>
    <row r="66" customFormat="false" ht="15" hidden="false" customHeight="false" outlineLevel="0" collapsed="false">
      <c r="A66" s="5" t="s">
        <v>165</v>
      </c>
      <c r="B66" s="5" t="s">
        <v>57</v>
      </c>
      <c r="C66" s="5" t="s">
        <v>69</v>
      </c>
      <c r="D66" s="5" t="s">
        <v>43</v>
      </c>
      <c r="E66" s="5" t="s">
        <v>118</v>
      </c>
      <c r="F66" s="5" t="s">
        <v>119</v>
      </c>
      <c r="G66" s="5" t="n">
        <v>98103</v>
      </c>
      <c r="H66" s="5" t="s">
        <v>72</v>
      </c>
      <c r="I66" s="5" t="s">
        <v>65</v>
      </c>
      <c r="J66" s="5" t="s">
        <v>133</v>
      </c>
      <c r="K66" s="6" t="n">
        <v>53.79</v>
      </c>
      <c r="L66" s="5" t="n">
        <v>9</v>
      </c>
      <c r="M66" s="7" t="n">
        <v>0.1</v>
      </c>
      <c r="N66" s="6" t="n">
        <v>18.03</v>
      </c>
    </row>
    <row r="67" customFormat="false" ht="15" hidden="false" customHeight="false" outlineLevel="0" collapsed="false">
      <c r="A67" s="5" t="s">
        <v>166</v>
      </c>
      <c r="B67" s="5" t="s">
        <v>41</v>
      </c>
      <c r="C67" s="5" t="s">
        <v>42</v>
      </c>
      <c r="D67" s="5" t="s">
        <v>43</v>
      </c>
      <c r="E67" s="5" t="s">
        <v>79</v>
      </c>
      <c r="F67" s="5" t="s">
        <v>80</v>
      </c>
      <c r="G67" s="5" t="n">
        <v>2127</v>
      </c>
      <c r="H67" s="5" t="s">
        <v>46</v>
      </c>
      <c r="I67" s="5" t="s">
        <v>54</v>
      </c>
      <c r="J67" s="5" t="s">
        <v>93</v>
      </c>
      <c r="K67" s="6" t="n">
        <v>325.84</v>
      </c>
      <c r="L67" s="5" t="n">
        <v>7</v>
      </c>
      <c r="M67" s="7" t="n">
        <v>0.7</v>
      </c>
      <c r="N67" s="6" t="n">
        <v>11.02</v>
      </c>
    </row>
    <row r="68" customFormat="false" ht="15" hidden="false" customHeight="false" outlineLevel="0" collapsed="false">
      <c r="A68" s="5" t="s">
        <v>167</v>
      </c>
      <c r="B68" s="5" t="s">
        <v>57</v>
      </c>
      <c r="C68" s="5" t="s">
        <v>69</v>
      </c>
      <c r="D68" s="5" t="s">
        <v>43</v>
      </c>
      <c r="E68" s="5" t="s">
        <v>118</v>
      </c>
      <c r="F68" s="5" t="s">
        <v>119</v>
      </c>
      <c r="G68" s="5" t="n">
        <v>98103</v>
      </c>
      <c r="H68" s="5" t="s">
        <v>72</v>
      </c>
      <c r="I68" s="5" t="s">
        <v>47</v>
      </c>
      <c r="J68" s="5" t="s">
        <v>48</v>
      </c>
      <c r="K68" s="6" t="n">
        <v>111.46</v>
      </c>
      <c r="L68" s="5" t="n">
        <v>7</v>
      </c>
      <c r="M68" s="7" t="n">
        <v>0.2</v>
      </c>
      <c r="N68" s="6" t="n">
        <v>3.57</v>
      </c>
    </row>
    <row r="69" customFormat="false" ht="15" hidden="false" customHeight="false" outlineLevel="0" collapsed="false">
      <c r="A69" s="5" t="s">
        <v>168</v>
      </c>
      <c r="B69" s="5" t="s">
        <v>57</v>
      </c>
      <c r="C69" s="5" t="s">
        <v>50</v>
      </c>
      <c r="D69" s="5" t="s">
        <v>43</v>
      </c>
      <c r="E69" s="5" t="s">
        <v>100</v>
      </c>
      <c r="F69" s="5" t="s">
        <v>101</v>
      </c>
      <c r="G69" s="5" t="n">
        <v>19140</v>
      </c>
      <c r="H69" s="5" t="s">
        <v>46</v>
      </c>
      <c r="I69" s="5" t="s">
        <v>54</v>
      </c>
      <c r="J69" s="5" t="s">
        <v>55</v>
      </c>
      <c r="K69" s="6" t="n">
        <v>46.72</v>
      </c>
      <c r="L69" s="5" t="n">
        <v>6</v>
      </c>
      <c r="M69" s="7" t="n">
        <v>0.2</v>
      </c>
      <c r="N69" s="6" t="n">
        <v>13.99</v>
      </c>
    </row>
    <row r="70" customFormat="false" ht="15" hidden="false" customHeight="false" outlineLevel="0" collapsed="false">
      <c r="A70" s="5" t="s">
        <v>169</v>
      </c>
      <c r="B70" s="5" t="s">
        <v>68</v>
      </c>
      <c r="C70" s="5" t="s">
        <v>42</v>
      </c>
      <c r="D70" s="5" t="s">
        <v>43</v>
      </c>
      <c r="E70" s="5" t="s">
        <v>44</v>
      </c>
      <c r="F70" s="5" t="s">
        <v>45</v>
      </c>
      <c r="G70" s="5" t="n">
        <v>10011</v>
      </c>
      <c r="H70" s="5" t="s">
        <v>46</v>
      </c>
      <c r="I70" s="5" t="s">
        <v>47</v>
      </c>
      <c r="J70" s="5" t="s">
        <v>60</v>
      </c>
      <c r="K70" s="6" t="n">
        <v>108.54</v>
      </c>
      <c r="L70" s="5" t="n">
        <v>1</v>
      </c>
      <c r="M70" s="7" t="n">
        <v>0.1</v>
      </c>
      <c r="N70" s="6" t="n">
        <v>1.66</v>
      </c>
    </row>
    <row r="71" customFormat="false" ht="15" hidden="false" customHeight="false" outlineLevel="0" collapsed="false">
      <c r="A71" s="5" t="s">
        <v>170</v>
      </c>
      <c r="B71" s="5" t="s">
        <v>83</v>
      </c>
      <c r="C71" s="5" t="s">
        <v>69</v>
      </c>
      <c r="D71" s="5" t="s">
        <v>43</v>
      </c>
      <c r="E71" s="5" t="s">
        <v>104</v>
      </c>
      <c r="F71" s="5" t="s">
        <v>105</v>
      </c>
      <c r="G71" s="5" t="n">
        <v>28205</v>
      </c>
      <c r="H71" s="5" t="s">
        <v>53</v>
      </c>
      <c r="I71" s="5" t="s">
        <v>54</v>
      </c>
      <c r="J71" s="5" t="s">
        <v>73</v>
      </c>
      <c r="K71" s="6" t="n">
        <v>13.43</v>
      </c>
      <c r="L71" s="5" t="n">
        <v>1</v>
      </c>
      <c r="M71" s="7" t="n">
        <v>0.2</v>
      </c>
      <c r="N71" s="6" t="n">
        <v>3.66</v>
      </c>
    </row>
    <row r="72" customFormat="false" ht="15" hidden="false" customHeight="false" outlineLevel="0" collapsed="false">
      <c r="A72" s="5" t="s">
        <v>171</v>
      </c>
      <c r="B72" s="5" t="s">
        <v>41</v>
      </c>
      <c r="C72" s="5" t="s">
        <v>69</v>
      </c>
      <c r="D72" s="5" t="s">
        <v>43</v>
      </c>
      <c r="E72" s="5" t="s">
        <v>75</v>
      </c>
      <c r="F72" s="5" t="s">
        <v>76</v>
      </c>
      <c r="G72" s="5" t="n">
        <v>60610</v>
      </c>
      <c r="H72" s="5" t="s">
        <v>64</v>
      </c>
      <c r="I72" s="5" t="s">
        <v>65</v>
      </c>
      <c r="J72" s="5" t="s">
        <v>120</v>
      </c>
      <c r="K72" s="6" t="n">
        <v>41.31</v>
      </c>
      <c r="L72" s="5" t="n">
        <v>2</v>
      </c>
      <c r="M72" s="7" t="n">
        <v>0</v>
      </c>
      <c r="N72" s="6" t="n">
        <v>10.24</v>
      </c>
    </row>
    <row r="73" customFormat="false" ht="15" hidden="false" customHeight="false" outlineLevel="0" collapsed="false">
      <c r="A73" s="5" t="s">
        <v>172</v>
      </c>
      <c r="B73" s="5" t="s">
        <v>68</v>
      </c>
      <c r="C73" s="5" t="s">
        <v>42</v>
      </c>
      <c r="D73" s="5" t="s">
        <v>43</v>
      </c>
      <c r="E73" s="5" t="s">
        <v>112</v>
      </c>
      <c r="F73" s="5" t="s">
        <v>63</v>
      </c>
      <c r="G73" s="5" t="n">
        <v>75217</v>
      </c>
      <c r="H73" s="5" t="s">
        <v>64</v>
      </c>
      <c r="I73" s="5" t="s">
        <v>47</v>
      </c>
      <c r="J73" s="5" t="s">
        <v>86</v>
      </c>
      <c r="K73" s="6" t="n">
        <v>282.15</v>
      </c>
      <c r="L73" s="5" t="n">
        <v>6</v>
      </c>
      <c r="M73" s="7" t="n">
        <v>0.2</v>
      </c>
      <c r="N73" s="6" t="n">
        <v>-35.68</v>
      </c>
    </row>
    <row r="74" customFormat="false" ht="15" hidden="false" customHeight="false" outlineLevel="0" collapsed="false">
      <c r="A74" s="5" t="s">
        <v>173</v>
      </c>
      <c r="B74" s="5" t="s">
        <v>57</v>
      </c>
      <c r="C74" s="5" t="s">
        <v>42</v>
      </c>
      <c r="D74" s="5" t="s">
        <v>43</v>
      </c>
      <c r="E74" s="5" t="s">
        <v>58</v>
      </c>
      <c r="F74" s="5" t="s">
        <v>59</v>
      </c>
      <c r="G74" s="5" t="n">
        <v>30318</v>
      </c>
      <c r="H74" s="5" t="s">
        <v>53</v>
      </c>
      <c r="I74" s="5" t="s">
        <v>47</v>
      </c>
      <c r="J74" s="5" t="s">
        <v>86</v>
      </c>
      <c r="K74" s="6" t="n">
        <v>110.78</v>
      </c>
      <c r="L74" s="5" t="n">
        <v>1</v>
      </c>
      <c r="M74" s="7" t="n">
        <v>0.1</v>
      </c>
      <c r="N74" s="6" t="n">
        <v>-4.94</v>
      </c>
    </row>
    <row r="75" customFormat="false" ht="15" hidden="false" customHeight="false" outlineLevel="0" collapsed="false">
      <c r="A75" s="5" t="s">
        <v>174</v>
      </c>
      <c r="B75" s="5" t="s">
        <v>41</v>
      </c>
      <c r="C75" s="5" t="s">
        <v>50</v>
      </c>
      <c r="D75" s="5" t="s">
        <v>43</v>
      </c>
      <c r="E75" s="5" t="s">
        <v>104</v>
      </c>
      <c r="F75" s="5" t="s">
        <v>105</v>
      </c>
      <c r="G75" s="5" t="n">
        <v>28205</v>
      </c>
      <c r="H75" s="5" t="s">
        <v>53</v>
      </c>
      <c r="I75" s="5" t="s">
        <v>65</v>
      </c>
      <c r="J75" s="5" t="s">
        <v>88</v>
      </c>
      <c r="K75" s="6" t="n">
        <v>14.11</v>
      </c>
      <c r="L75" s="5" t="n">
        <v>4</v>
      </c>
      <c r="M75" s="7" t="n">
        <v>0</v>
      </c>
      <c r="N75" s="6" t="n">
        <v>1.15</v>
      </c>
    </row>
    <row r="76" customFormat="false" ht="15" hidden="false" customHeight="false" outlineLevel="0" collapsed="false">
      <c r="A76" s="5" t="s">
        <v>175</v>
      </c>
      <c r="B76" s="5" t="s">
        <v>83</v>
      </c>
      <c r="C76" s="5" t="s">
        <v>50</v>
      </c>
      <c r="D76" s="5" t="s">
        <v>43</v>
      </c>
      <c r="E76" s="5" t="s">
        <v>176</v>
      </c>
      <c r="F76" s="5" t="s">
        <v>177</v>
      </c>
      <c r="G76" s="5" t="n">
        <v>55407</v>
      </c>
      <c r="H76" s="5" t="s">
        <v>64</v>
      </c>
      <c r="I76" s="5" t="s">
        <v>65</v>
      </c>
      <c r="J76" s="5" t="s">
        <v>133</v>
      </c>
      <c r="K76" s="6" t="n">
        <v>108.88</v>
      </c>
      <c r="L76" s="5" t="n">
        <v>5</v>
      </c>
      <c r="M76" s="7" t="n">
        <v>0.2</v>
      </c>
      <c r="N76" s="6" t="n">
        <v>34.1</v>
      </c>
    </row>
    <row r="77" customFormat="false" ht="15" hidden="false" customHeight="false" outlineLevel="0" collapsed="false">
      <c r="A77" s="5" t="s">
        <v>178</v>
      </c>
      <c r="B77" s="5" t="s">
        <v>41</v>
      </c>
      <c r="C77" s="5" t="s">
        <v>50</v>
      </c>
      <c r="D77" s="5" t="s">
        <v>43</v>
      </c>
      <c r="E77" s="5" t="s">
        <v>107</v>
      </c>
      <c r="F77" s="5" t="s">
        <v>108</v>
      </c>
      <c r="G77" s="5" t="n">
        <v>7102</v>
      </c>
      <c r="H77" s="5" t="s">
        <v>46</v>
      </c>
      <c r="I77" s="5" t="s">
        <v>65</v>
      </c>
      <c r="J77" s="5" t="s">
        <v>81</v>
      </c>
      <c r="K77" s="6" t="n">
        <v>15.51</v>
      </c>
      <c r="L77" s="5" t="n">
        <v>1</v>
      </c>
      <c r="M77" s="7" t="n">
        <v>0</v>
      </c>
      <c r="N77" s="6" t="n">
        <v>3.87</v>
      </c>
    </row>
    <row r="78" customFormat="false" ht="15" hidden="false" customHeight="false" outlineLevel="0" collapsed="false">
      <c r="A78" s="5" t="s">
        <v>179</v>
      </c>
      <c r="B78" s="5" t="s">
        <v>57</v>
      </c>
      <c r="C78" s="5" t="s">
        <v>42</v>
      </c>
      <c r="D78" s="5" t="s">
        <v>43</v>
      </c>
      <c r="E78" s="5" t="s">
        <v>176</v>
      </c>
      <c r="F78" s="5" t="s">
        <v>177</v>
      </c>
      <c r="G78" s="5" t="n">
        <v>55407</v>
      </c>
      <c r="H78" s="5" t="s">
        <v>64</v>
      </c>
      <c r="I78" s="5" t="s">
        <v>54</v>
      </c>
      <c r="J78" s="5" t="s">
        <v>77</v>
      </c>
      <c r="K78" s="6" t="n">
        <v>276.13</v>
      </c>
      <c r="L78" s="5" t="n">
        <v>4</v>
      </c>
      <c r="M78" s="7" t="n">
        <v>0.2</v>
      </c>
      <c r="N78" s="6" t="n">
        <v>86.69</v>
      </c>
    </row>
    <row r="79" customFormat="false" ht="15" hidden="false" customHeight="false" outlineLevel="0" collapsed="false">
      <c r="A79" s="5" t="s">
        <v>180</v>
      </c>
      <c r="B79" s="5" t="s">
        <v>83</v>
      </c>
      <c r="C79" s="5" t="s">
        <v>42</v>
      </c>
      <c r="D79" s="5" t="s">
        <v>43</v>
      </c>
      <c r="E79" s="5" t="s">
        <v>112</v>
      </c>
      <c r="F79" s="5" t="s">
        <v>63</v>
      </c>
      <c r="G79" s="5" t="n">
        <v>75217</v>
      </c>
      <c r="H79" s="5" t="s">
        <v>64</v>
      </c>
      <c r="I79" s="5" t="s">
        <v>54</v>
      </c>
      <c r="J79" s="5" t="s">
        <v>93</v>
      </c>
      <c r="K79" s="6" t="n">
        <v>260.81</v>
      </c>
      <c r="L79" s="5" t="n">
        <v>6</v>
      </c>
      <c r="M79" s="7" t="n">
        <v>0.2</v>
      </c>
      <c r="N79" s="6" t="n">
        <v>102.52</v>
      </c>
    </row>
    <row r="80" customFormat="false" ht="15" hidden="false" customHeight="false" outlineLevel="0" collapsed="false">
      <c r="A80" s="5" t="s">
        <v>151</v>
      </c>
      <c r="B80" s="5" t="s">
        <v>57</v>
      </c>
      <c r="C80" s="5" t="s">
        <v>50</v>
      </c>
      <c r="D80" s="5" t="s">
        <v>43</v>
      </c>
      <c r="E80" s="5" t="s">
        <v>75</v>
      </c>
      <c r="F80" s="5" t="s">
        <v>76</v>
      </c>
      <c r="G80" s="5" t="n">
        <v>60610</v>
      </c>
      <c r="H80" s="5" t="s">
        <v>64</v>
      </c>
      <c r="I80" s="5" t="s">
        <v>47</v>
      </c>
      <c r="J80" s="5" t="s">
        <v>84</v>
      </c>
      <c r="K80" s="6" t="n">
        <v>176.7</v>
      </c>
      <c r="L80" s="5" t="n">
        <v>4</v>
      </c>
      <c r="M80" s="7" t="n">
        <v>0.3</v>
      </c>
      <c r="N80" s="6" t="n">
        <v>16.68</v>
      </c>
    </row>
    <row r="81" customFormat="false" ht="15" hidden="false" customHeight="false" outlineLevel="0" collapsed="false">
      <c r="A81" s="5" t="s">
        <v>181</v>
      </c>
      <c r="B81" s="5" t="s">
        <v>41</v>
      </c>
      <c r="C81" s="5" t="s">
        <v>42</v>
      </c>
      <c r="D81" s="5" t="s">
        <v>43</v>
      </c>
      <c r="E81" s="5" t="s">
        <v>95</v>
      </c>
      <c r="F81" s="5" t="s">
        <v>96</v>
      </c>
      <c r="G81" s="5" t="n">
        <v>97206</v>
      </c>
      <c r="H81" s="5" t="s">
        <v>72</v>
      </c>
      <c r="I81" s="5" t="s">
        <v>54</v>
      </c>
      <c r="J81" s="5" t="s">
        <v>55</v>
      </c>
      <c r="K81" s="6" t="n">
        <v>297.59</v>
      </c>
      <c r="L81" s="5" t="n">
        <v>1</v>
      </c>
      <c r="M81" s="7" t="n">
        <v>0</v>
      </c>
      <c r="N81" s="6" t="n">
        <v>108.06</v>
      </c>
    </row>
    <row r="82" customFormat="false" ht="15" hidden="false" customHeight="false" outlineLevel="0" collapsed="false">
      <c r="A82" s="5" t="s">
        <v>182</v>
      </c>
      <c r="B82" s="5" t="s">
        <v>41</v>
      </c>
      <c r="C82" s="5" t="s">
        <v>50</v>
      </c>
      <c r="D82" s="5" t="s">
        <v>43</v>
      </c>
      <c r="E82" s="5" t="s">
        <v>70</v>
      </c>
      <c r="F82" s="5" t="s">
        <v>71</v>
      </c>
      <c r="G82" s="5" t="n">
        <v>80219</v>
      </c>
      <c r="H82" s="5" t="s">
        <v>72</v>
      </c>
      <c r="I82" s="5" t="s">
        <v>54</v>
      </c>
      <c r="J82" s="5" t="s">
        <v>73</v>
      </c>
      <c r="K82" s="6" t="n">
        <v>53.63</v>
      </c>
      <c r="L82" s="5" t="n">
        <v>1</v>
      </c>
      <c r="M82" s="7" t="n">
        <v>0</v>
      </c>
      <c r="N82" s="6" t="n">
        <v>16.36</v>
      </c>
    </row>
    <row r="83" customFormat="false" ht="15" hidden="false" customHeight="false" outlineLevel="0" collapsed="false">
      <c r="A83" s="5" t="s">
        <v>183</v>
      </c>
      <c r="B83" s="5" t="s">
        <v>83</v>
      </c>
      <c r="C83" s="5" t="s">
        <v>69</v>
      </c>
      <c r="D83" s="5" t="s">
        <v>43</v>
      </c>
      <c r="E83" s="5" t="s">
        <v>107</v>
      </c>
      <c r="F83" s="5" t="s">
        <v>108</v>
      </c>
      <c r="G83" s="5" t="n">
        <v>7102</v>
      </c>
      <c r="H83" s="5" t="s">
        <v>46</v>
      </c>
      <c r="I83" s="5" t="s">
        <v>54</v>
      </c>
      <c r="J83" s="5" t="s">
        <v>93</v>
      </c>
      <c r="K83" s="6" t="n">
        <v>219.7</v>
      </c>
      <c r="L83" s="5" t="n">
        <v>4</v>
      </c>
      <c r="M83" s="7" t="n">
        <v>0.2</v>
      </c>
      <c r="N83" s="6" t="n">
        <v>74.19</v>
      </c>
    </row>
    <row r="84" customFormat="false" ht="15" hidden="false" customHeight="false" outlineLevel="0" collapsed="false">
      <c r="A84" s="5" t="s">
        <v>184</v>
      </c>
      <c r="B84" s="5" t="s">
        <v>68</v>
      </c>
      <c r="C84" s="5" t="s">
        <v>50</v>
      </c>
      <c r="D84" s="5" t="s">
        <v>43</v>
      </c>
      <c r="E84" s="5" t="s">
        <v>79</v>
      </c>
      <c r="F84" s="5" t="s">
        <v>80</v>
      </c>
      <c r="G84" s="5" t="n">
        <v>2127</v>
      </c>
      <c r="H84" s="5" t="s">
        <v>46</v>
      </c>
      <c r="I84" s="5" t="s">
        <v>54</v>
      </c>
      <c r="J84" s="5" t="s">
        <v>55</v>
      </c>
      <c r="K84" s="6" t="n">
        <v>49.58</v>
      </c>
      <c r="L84" s="5" t="n">
        <v>3</v>
      </c>
      <c r="M84" s="7" t="n">
        <v>0</v>
      </c>
      <c r="N84" s="6" t="n">
        <v>-8.02</v>
      </c>
    </row>
    <row r="85" customFormat="false" ht="15" hidden="false" customHeight="false" outlineLevel="0" collapsed="false">
      <c r="A85" s="5" t="s">
        <v>185</v>
      </c>
      <c r="B85" s="5" t="s">
        <v>57</v>
      </c>
      <c r="C85" s="5" t="s">
        <v>50</v>
      </c>
      <c r="D85" s="5" t="s">
        <v>43</v>
      </c>
      <c r="E85" s="5" t="s">
        <v>112</v>
      </c>
      <c r="F85" s="5" t="s">
        <v>63</v>
      </c>
      <c r="G85" s="5" t="n">
        <v>75217</v>
      </c>
      <c r="H85" s="5" t="s">
        <v>64</v>
      </c>
      <c r="I85" s="5" t="s">
        <v>54</v>
      </c>
      <c r="J85" s="5" t="s">
        <v>93</v>
      </c>
      <c r="K85" s="6" t="n">
        <v>158.48</v>
      </c>
      <c r="L85" s="5" t="n">
        <v>7</v>
      </c>
      <c r="M85" s="7" t="n">
        <v>0.5</v>
      </c>
      <c r="N85" s="6" t="n">
        <v>25.84</v>
      </c>
    </row>
    <row r="86" customFormat="false" ht="15" hidden="false" customHeight="false" outlineLevel="0" collapsed="false">
      <c r="A86" s="5" t="s">
        <v>186</v>
      </c>
      <c r="B86" s="5" t="s">
        <v>57</v>
      </c>
      <c r="C86" s="5" t="s">
        <v>69</v>
      </c>
      <c r="D86" s="5" t="s">
        <v>43</v>
      </c>
      <c r="E86" s="5" t="s">
        <v>91</v>
      </c>
      <c r="F86" s="5" t="s">
        <v>92</v>
      </c>
      <c r="G86" s="5" t="n">
        <v>33311</v>
      </c>
      <c r="H86" s="5" t="s">
        <v>53</v>
      </c>
      <c r="I86" s="5" t="s">
        <v>54</v>
      </c>
      <c r="J86" s="5" t="s">
        <v>93</v>
      </c>
      <c r="K86" s="6" t="n">
        <v>200.02</v>
      </c>
      <c r="L86" s="5" t="n">
        <v>8</v>
      </c>
      <c r="M86" s="7" t="n">
        <v>0.15</v>
      </c>
      <c r="N86" s="6" t="n">
        <v>90.71</v>
      </c>
    </row>
    <row r="87" customFormat="false" ht="15" hidden="false" customHeight="false" outlineLevel="0" collapsed="false">
      <c r="A87" s="5" t="s">
        <v>187</v>
      </c>
      <c r="B87" s="5" t="s">
        <v>41</v>
      </c>
      <c r="C87" s="5" t="s">
        <v>69</v>
      </c>
      <c r="D87" s="5" t="s">
        <v>43</v>
      </c>
      <c r="E87" s="5" t="s">
        <v>104</v>
      </c>
      <c r="F87" s="5" t="s">
        <v>105</v>
      </c>
      <c r="G87" s="5" t="n">
        <v>28205</v>
      </c>
      <c r="H87" s="5" t="s">
        <v>53</v>
      </c>
      <c r="I87" s="5" t="s">
        <v>65</v>
      </c>
      <c r="J87" s="5" t="s">
        <v>109</v>
      </c>
      <c r="K87" s="6" t="n">
        <v>86.06</v>
      </c>
      <c r="L87" s="5" t="n">
        <v>8</v>
      </c>
      <c r="M87" s="7" t="n">
        <v>0.2</v>
      </c>
      <c r="N87" s="6" t="n">
        <v>11.93</v>
      </c>
    </row>
    <row r="88" customFormat="false" ht="15" hidden="false" customHeight="false" outlineLevel="0" collapsed="false">
      <c r="A88" s="5" t="s">
        <v>188</v>
      </c>
      <c r="B88" s="5" t="s">
        <v>83</v>
      </c>
      <c r="C88" s="5" t="s">
        <v>42</v>
      </c>
      <c r="D88" s="5" t="s">
        <v>43</v>
      </c>
      <c r="E88" s="5" t="s">
        <v>70</v>
      </c>
      <c r="F88" s="5" t="s">
        <v>71</v>
      </c>
      <c r="G88" s="5" t="n">
        <v>80219</v>
      </c>
      <c r="H88" s="5" t="s">
        <v>72</v>
      </c>
      <c r="I88" s="5" t="s">
        <v>65</v>
      </c>
      <c r="J88" s="5" t="s">
        <v>109</v>
      </c>
      <c r="K88" s="6" t="n">
        <v>140.3</v>
      </c>
      <c r="L88" s="5" t="n">
        <v>7</v>
      </c>
      <c r="M88" s="7" t="n">
        <v>0.1</v>
      </c>
      <c r="N88" s="6" t="n">
        <v>37.73</v>
      </c>
    </row>
    <row r="89" customFormat="false" ht="15" hidden="false" customHeight="false" outlineLevel="0" collapsed="false">
      <c r="A89" s="5" t="s">
        <v>139</v>
      </c>
      <c r="B89" s="5" t="s">
        <v>68</v>
      </c>
      <c r="C89" s="5" t="s">
        <v>42</v>
      </c>
      <c r="D89" s="5" t="s">
        <v>43</v>
      </c>
      <c r="E89" s="5" t="s">
        <v>104</v>
      </c>
      <c r="F89" s="5" t="s">
        <v>105</v>
      </c>
      <c r="G89" s="5" t="n">
        <v>28205</v>
      </c>
      <c r="H89" s="5" t="s">
        <v>53</v>
      </c>
      <c r="I89" s="5" t="s">
        <v>65</v>
      </c>
      <c r="J89" s="5" t="s">
        <v>122</v>
      </c>
      <c r="K89" s="6" t="n">
        <v>25.42</v>
      </c>
      <c r="L89" s="5" t="n">
        <v>3</v>
      </c>
      <c r="M89" s="7" t="n">
        <v>0.15</v>
      </c>
      <c r="N89" s="6" t="n">
        <v>-3.54</v>
      </c>
    </row>
    <row r="90" customFormat="false" ht="15" hidden="false" customHeight="false" outlineLevel="0" collapsed="false">
      <c r="A90" s="5" t="s">
        <v>189</v>
      </c>
      <c r="B90" s="5" t="s">
        <v>83</v>
      </c>
      <c r="C90" s="5" t="s">
        <v>50</v>
      </c>
      <c r="D90" s="5" t="s">
        <v>43</v>
      </c>
      <c r="E90" s="5" t="s">
        <v>75</v>
      </c>
      <c r="F90" s="5" t="s">
        <v>76</v>
      </c>
      <c r="G90" s="5" t="n">
        <v>60610</v>
      </c>
      <c r="H90" s="5" t="s">
        <v>64</v>
      </c>
      <c r="I90" s="5" t="s">
        <v>65</v>
      </c>
      <c r="J90" s="5" t="s">
        <v>133</v>
      </c>
      <c r="K90" s="6" t="n">
        <v>415.54</v>
      </c>
      <c r="L90" s="5" t="n">
        <v>5</v>
      </c>
      <c r="M90" s="7" t="n">
        <v>0.1</v>
      </c>
      <c r="N90" s="6" t="n">
        <v>119.75</v>
      </c>
    </row>
    <row r="91" customFormat="false" ht="15" hidden="false" customHeight="false" outlineLevel="0" collapsed="false">
      <c r="A91" s="5" t="s">
        <v>190</v>
      </c>
      <c r="B91" s="5" t="s">
        <v>83</v>
      </c>
      <c r="C91" s="5" t="s">
        <v>50</v>
      </c>
      <c r="D91" s="5" t="s">
        <v>43</v>
      </c>
      <c r="E91" s="5" t="s">
        <v>118</v>
      </c>
      <c r="F91" s="5" t="s">
        <v>119</v>
      </c>
      <c r="G91" s="5" t="n">
        <v>98103</v>
      </c>
      <c r="H91" s="5" t="s">
        <v>72</v>
      </c>
      <c r="I91" s="5" t="s">
        <v>65</v>
      </c>
      <c r="J91" s="5" t="s">
        <v>138</v>
      </c>
      <c r="K91" s="6" t="n">
        <v>54.37</v>
      </c>
      <c r="L91" s="5" t="n">
        <v>9</v>
      </c>
      <c r="M91" s="7" t="n">
        <v>0.1</v>
      </c>
      <c r="N91" s="6" t="n">
        <v>11.47</v>
      </c>
    </row>
    <row r="92" customFormat="false" ht="15" hidden="false" customHeight="false" outlineLevel="0" collapsed="false">
      <c r="A92" s="5" t="s">
        <v>191</v>
      </c>
      <c r="B92" s="5" t="s">
        <v>68</v>
      </c>
      <c r="C92" s="5" t="s">
        <v>69</v>
      </c>
      <c r="D92" s="5" t="s">
        <v>43</v>
      </c>
      <c r="E92" s="5" t="s">
        <v>112</v>
      </c>
      <c r="F92" s="5" t="s">
        <v>63</v>
      </c>
      <c r="G92" s="5" t="n">
        <v>75217</v>
      </c>
      <c r="H92" s="5" t="s">
        <v>64</v>
      </c>
      <c r="I92" s="5" t="s">
        <v>65</v>
      </c>
      <c r="J92" s="5" t="s">
        <v>138</v>
      </c>
      <c r="K92" s="6" t="n">
        <v>72.3</v>
      </c>
      <c r="L92" s="5" t="n">
        <v>7</v>
      </c>
      <c r="M92" s="7" t="n">
        <v>0</v>
      </c>
      <c r="N92" s="6" t="n">
        <v>17.97</v>
      </c>
    </row>
    <row r="93" customFormat="false" ht="15" hidden="false" customHeight="false" outlineLevel="0" collapsed="false">
      <c r="A93" s="5" t="s">
        <v>192</v>
      </c>
      <c r="B93" s="5" t="s">
        <v>57</v>
      </c>
      <c r="C93" s="5" t="s">
        <v>50</v>
      </c>
      <c r="D93" s="5" t="s">
        <v>43</v>
      </c>
      <c r="E93" s="5" t="s">
        <v>62</v>
      </c>
      <c r="F93" s="5" t="s">
        <v>63</v>
      </c>
      <c r="G93" s="5" t="n">
        <v>77095</v>
      </c>
      <c r="H93" s="5" t="s">
        <v>64</v>
      </c>
      <c r="I93" s="5" t="s">
        <v>54</v>
      </c>
      <c r="J93" s="5" t="s">
        <v>73</v>
      </c>
      <c r="K93" s="6" t="n">
        <v>133.36</v>
      </c>
      <c r="L93" s="5" t="n">
        <v>6</v>
      </c>
      <c r="M93" s="7" t="n">
        <v>0.2</v>
      </c>
      <c r="N93" s="6" t="n">
        <v>42.12</v>
      </c>
    </row>
    <row r="94" customFormat="false" ht="15" hidden="false" customHeight="false" outlineLevel="0" collapsed="false">
      <c r="A94" s="5" t="s">
        <v>193</v>
      </c>
      <c r="B94" s="5" t="s">
        <v>83</v>
      </c>
      <c r="C94" s="5" t="s">
        <v>69</v>
      </c>
      <c r="D94" s="5" t="s">
        <v>43</v>
      </c>
      <c r="E94" s="5" t="s">
        <v>112</v>
      </c>
      <c r="F94" s="5" t="s">
        <v>63</v>
      </c>
      <c r="G94" s="5" t="n">
        <v>75217</v>
      </c>
      <c r="H94" s="5" t="s">
        <v>64</v>
      </c>
      <c r="I94" s="5" t="s">
        <v>65</v>
      </c>
      <c r="J94" s="5" t="s">
        <v>133</v>
      </c>
      <c r="K94" s="6" t="n">
        <v>42.07</v>
      </c>
      <c r="L94" s="5" t="n">
        <v>5</v>
      </c>
      <c r="M94" s="7" t="n">
        <v>0.2</v>
      </c>
      <c r="N94" s="6" t="n">
        <v>15.52</v>
      </c>
    </row>
    <row r="95" customFormat="false" ht="15" hidden="false" customHeight="false" outlineLevel="0" collapsed="false">
      <c r="A95" s="5" t="s">
        <v>194</v>
      </c>
      <c r="B95" s="5" t="s">
        <v>41</v>
      </c>
      <c r="C95" s="5" t="s">
        <v>69</v>
      </c>
      <c r="D95" s="5" t="s">
        <v>43</v>
      </c>
      <c r="E95" s="5" t="s">
        <v>44</v>
      </c>
      <c r="F95" s="5" t="s">
        <v>45</v>
      </c>
      <c r="G95" s="5" t="n">
        <v>10011</v>
      </c>
      <c r="H95" s="5" t="s">
        <v>46</v>
      </c>
      <c r="I95" s="5" t="s">
        <v>65</v>
      </c>
      <c r="J95" s="5" t="s">
        <v>138</v>
      </c>
      <c r="K95" s="6" t="n">
        <v>10.75</v>
      </c>
      <c r="L95" s="5" t="n">
        <v>3</v>
      </c>
      <c r="M95" s="7" t="n">
        <v>0.2</v>
      </c>
      <c r="N95" s="6" t="n">
        <v>2.67</v>
      </c>
    </row>
    <row r="96" customFormat="false" ht="15" hidden="false" customHeight="false" outlineLevel="0" collapsed="false">
      <c r="A96" s="5" t="s">
        <v>195</v>
      </c>
      <c r="B96" s="5" t="s">
        <v>83</v>
      </c>
      <c r="C96" s="5" t="s">
        <v>69</v>
      </c>
      <c r="D96" s="5" t="s">
        <v>43</v>
      </c>
      <c r="E96" s="5" t="s">
        <v>58</v>
      </c>
      <c r="F96" s="5" t="s">
        <v>59</v>
      </c>
      <c r="G96" s="5" t="n">
        <v>30318</v>
      </c>
      <c r="H96" s="5" t="s">
        <v>53</v>
      </c>
      <c r="I96" s="5" t="s">
        <v>54</v>
      </c>
      <c r="J96" s="5" t="s">
        <v>55</v>
      </c>
      <c r="K96" s="6" t="n">
        <v>75.14</v>
      </c>
      <c r="L96" s="5" t="n">
        <v>2</v>
      </c>
      <c r="M96" s="7" t="n">
        <v>0.5</v>
      </c>
      <c r="N96" s="6" t="n">
        <v>6.25</v>
      </c>
    </row>
    <row r="97" customFormat="false" ht="15" hidden="false" customHeight="false" outlineLevel="0" collapsed="false">
      <c r="A97" s="5" t="s">
        <v>196</v>
      </c>
      <c r="B97" s="5" t="s">
        <v>57</v>
      </c>
      <c r="C97" s="5" t="s">
        <v>69</v>
      </c>
      <c r="D97" s="5" t="s">
        <v>43</v>
      </c>
      <c r="E97" s="5" t="s">
        <v>95</v>
      </c>
      <c r="F97" s="5" t="s">
        <v>96</v>
      </c>
      <c r="G97" s="5" t="n">
        <v>97206</v>
      </c>
      <c r="H97" s="5" t="s">
        <v>72</v>
      </c>
      <c r="I97" s="5" t="s">
        <v>65</v>
      </c>
      <c r="J97" s="5" t="s">
        <v>120</v>
      </c>
      <c r="K97" s="6" t="n">
        <v>131.97</v>
      </c>
      <c r="L97" s="5" t="n">
        <v>6</v>
      </c>
      <c r="M97" s="7" t="n">
        <v>0</v>
      </c>
      <c r="N97" s="6" t="n">
        <v>37.15</v>
      </c>
    </row>
    <row r="98" customFormat="false" ht="15" hidden="false" customHeight="false" outlineLevel="0" collapsed="false">
      <c r="A98" s="5" t="s">
        <v>197</v>
      </c>
      <c r="B98" s="5" t="s">
        <v>41</v>
      </c>
      <c r="C98" s="5" t="s">
        <v>69</v>
      </c>
      <c r="D98" s="5" t="s">
        <v>43</v>
      </c>
      <c r="E98" s="5" t="s">
        <v>107</v>
      </c>
      <c r="F98" s="5" t="s">
        <v>108</v>
      </c>
      <c r="G98" s="5" t="n">
        <v>7102</v>
      </c>
      <c r="H98" s="5" t="s">
        <v>46</v>
      </c>
      <c r="I98" s="5" t="s">
        <v>65</v>
      </c>
      <c r="J98" s="5" t="s">
        <v>124</v>
      </c>
      <c r="K98" s="6" t="n">
        <v>25.79</v>
      </c>
      <c r="L98" s="5" t="n">
        <v>6</v>
      </c>
      <c r="M98" s="7" t="n">
        <v>0.2</v>
      </c>
      <c r="N98" s="6" t="n">
        <v>5.3</v>
      </c>
    </row>
    <row r="99" customFormat="false" ht="15" hidden="false" customHeight="false" outlineLevel="0" collapsed="false">
      <c r="A99" s="5" t="s">
        <v>198</v>
      </c>
      <c r="B99" s="5" t="s">
        <v>41</v>
      </c>
      <c r="C99" s="5" t="s">
        <v>69</v>
      </c>
      <c r="D99" s="5" t="s">
        <v>43</v>
      </c>
      <c r="E99" s="5" t="s">
        <v>176</v>
      </c>
      <c r="F99" s="5" t="s">
        <v>177</v>
      </c>
      <c r="G99" s="5" t="n">
        <v>55407</v>
      </c>
      <c r="H99" s="5" t="s">
        <v>64</v>
      </c>
      <c r="I99" s="5" t="s">
        <v>54</v>
      </c>
      <c r="J99" s="5" t="s">
        <v>93</v>
      </c>
      <c r="K99" s="6" t="n">
        <v>421.68</v>
      </c>
      <c r="L99" s="5" t="n">
        <v>2</v>
      </c>
      <c r="M99" s="7" t="n">
        <v>0.4</v>
      </c>
      <c r="N99" s="6" t="n">
        <v>98.38</v>
      </c>
    </row>
    <row r="100" customFormat="false" ht="15" hidden="false" customHeight="false" outlineLevel="0" collapsed="false">
      <c r="A100" s="5" t="s">
        <v>199</v>
      </c>
      <c r="B100" s="5" t="s">
        <v>57</v>
      </c>
      <c r="C100" s="5" t="s">
        <v>69</v>
      </c>
      <c r="D100" s="5" t="s">
        <v>43</v>
      </c>
      <c r="E100" s="5" t="s">
        <v>62</v>
      </c>
      <c r="F100" s="5" t="s">
        <v>63</v>
      </c>
      <c r="G100" s="5" t="n">
        <v>77095</v>
      </c>
      <c r="H100" s="5" t="s">
        <v>64</v>
      </c>
      <c r="I100" s="5" t="s">
        <v>54</v>
      </c>
      <c r="J100" s="5" t="s">
        <v>93</v>
      </c>
      <c r="K100" s="6" t="n">
        <v>164.95</v>
      </c>
      <c r="L100" s="5" t="n">
        <v>6</v>
      </c>
      <c r="M100" s="7" t="n">
        <v>0.3</v>
      </c>
      <c r="N100" s="6" t="n">
        <v>53.75</v>
      </c>
    </row>
    <row r="101" customFormat="false" ht="15" hidden="false" customHeight="false" outlineLevel="0" collapsed="false">
      <c r="A101" s="5" t="s">
        <v>200</v>
      </c>
      <c r="B101" s="5" t="s">
        <v>57</v>
      </c>
      <c r="C101" s="5" t="s">
        <v>69</v>
      </c>
      <c r="D101" s="5" t="s">
        <v>43</v>
      </c>
      <c r="E101" s="5" t="s">
        <v>104</v>
      </c>
      <c r="F101" s="5" t="s">
        <v>105</v>
      </c>
      <c r="G101" s="5" t="n">
        <v>28205</v>
      </c>
      <c r="H101" s="5" t="s">
        <v>53</v>
      </c>
      <c r="I101" s="5" t="s">
        <v>47</v>
      </c>
      <c r="J101" s="5" t="s">
        <v>48</v>
      </c>
      <c r="K101" s="6" t="n">
        <v>67.19</v>
      </c>
      <c r="L101" s="5" t="n">
        <v>2</v>
      </c>
      <c r="M101" s="7" t="n">
        <v>0.15</v>
      </c>
      <c r="N101" s="6" t="n">
        <v>6.7</v>
      </c>
    </row>
    <row r="102" customFormat="false" ht="15" hidden="false" customHeight="false" outlineLevel="0" collapsed="false">
      <c r="A102" s="5" t="s">
        <v>201</v>
      </c>
      <c r="B102" s="5" t="s">
        <v>83</v>
      </c>
      <c r="C102" s="5" t="s">
        <v>69</v>
      </c>
      <c r="D102" s="5" t="s">
        <v>43</v>
      </c>
      <c r="E102" s="5" t="s">
        <v>70</v>
      </c>
      <c r="F102" s="5" t="s">
        <v>71</v>
      </c>
      <c r="G102" s="5" t="n">
        <v>80219</v>
      </c>
      <c r="H102" s="5" t="s">
        <v>72</v>
      </c>
      <c r="I102" s="5" t="s">
        <v>65</v>
      </c>
      <c r="J102" s="5" t="s">
        <v>138</v>
      </c>
      <c r="K102" s="6" t="n">
        <v>137.46</v>
      </c>
      <c r="L102" s="5" t="n">
        <v>8</v>
      </c>
      <c r="M102" s="7" t="n">
        <v>0.4</v>
      </c>
      <c r="N102" s="6" t="n">
        <v>17.7</v>
      </c>
    </row>
    <row r="103" customFormat="false" ht="15" hidden="false" customHeight="false" outlineLevel="0" collapsed="false">
      <c r="A103" s="5" t="s">
        <v>153</v>
      </c>
      <c r="B103" s="5" t="s">
        <v>83</v>
      </c>
      <c r="C103" s="5" t="s">
        <v>50</v>
      </c>
      <c r="D103" s="5" t="s">
        <v>43</v>
      </c>
      <c r="E103" s="5" t="s">
        <v>70</v>
      </c>
      <c r="F103" s="5" t="s">
        <v>71</v>
      </c>
      <c r="G103" s="5" t="n">
        <v>80219</v>
      </c>
      <c r="H103" s="5" t="s">
        <v>72</v>
      </c>
      <c r="I103" s="5" t="s">
        <v>65</v>
      </c>
      <c r="J103" s="5" t="s">
        <v>66</v>
      </c>
      <c r="K103" s="6" t="n">
        <v>108.52</v>
      </c>
      <c r="L103" s="5" t="n">
        <v>3</v>
      </c>
      <c r="M103" s="7" t="n">
        <v>0.5</v>
      </c>
      <c r="N103" s="6" t="n">
        <v>20.95</v>
      </c>
    </row>
    <row r="104" customFormat="false" ht="15" hidden="false" customHeight="false" outlineLevel="0" collapsed="false">
      <c r="A104" s="5" t="s">
        <v>202</v>
      </c>
      <c r="B104" s="5" t="s">
        <v>68</v>
      </c>
      <c r="C104" s="5" t="s">
        <v>69</v>
      </c>
      <c r="D104" s="5" t="s">
        <v>43</v>
      </c>
      <c r="E104" s="5" t="s">
        <v>95</v>
      </c>
      <c r="F104" s="5" t="s">
        <v>96</v>
      </c>
      <c r="G104" s="5" t="n">
        <v>97206</v>
      </c>
      <c r="H104" s="5" t="s">
        <v>72</v>
      </c>
      <c r="I104" s="5" t="s">
        <v>47</v>
      </c>
      <c r="J104" s="5" t="s">
        <v>48</v>
      </c>
      <c r="K104" s="6" t="n">
        <v>122.56</v>
      </c>
      <c r="L104" s="5" t="n">
        <v>8</v>
      </c>
      <c r="M104" s="7" t="n">
        <v>0.15</v>
      </c>
      <c r="N104" s="6" t="n">
        <v>-3.69</v>
      </c>
    </row>
    <row r="105" customFormat="false" ht="15" hidden="false" customHeight="false" outlineLevel="0" collapsed="false">
      <c r="A105" s="5" t="s">
        <v>203</v>
      </c>
      <c r="B105" s="5" t="s">
        <v>83</v>
      </c>
      <c r="C105" s="5" t="s">
        <v>50</v>
      </c>
      <c r="D105" s="5" t="s">
        <v>43</v>
      </c>
      <c r="E105" s="5" t="s">
        <v>176</v>
      </c>
      <c r="F105" s="5" t="s">
        <v>177</v>
      </c>
      <c r="G105" s="5" t="n">
        <v>55407</v>
      </c>
      <c r="H105" s="5" t="s">
        <v>64</v>
      </c>
      <c r="I105" s="5" t="s">
        <v>47</v>
      </c>
      <c r="J105" s="5" t="s">
        <v>84</v>
      </c>
      <c r="K105" s="6" t="n">
        <v>56.15</v>
      </c>
      <c r="L105" s="5" t="n">
        <v>2</v>
      </c>
      <c r="M105" s="7" t="n">
        <v>0.2</v>
      </c>
      <c r="N105" s="6" t="n">
        <v>-11.12</v>
      </c>
    </row>
    <row r="106" customFormat="false" ht="15" hidden="false" customHeight="false" outlineLevel="0" collapsed="false">
      <c r="A106" s="5" t="s">
        <v>204</v>
      </c>
      <c r="B106" s="5" t="s">
        <v>83</v>
      </c>
      <c r="C106" s="5" t="s">
        <v>50</v>
      </c>
      <c r="D106" s="5" t="s">
        <v>43</v>
      </c>
      <c r="E106" s="5" t="s">
        <v>79</v>
      </c>
      <c r="F106" s="5" t="s">
        <v>80</v>
      </c>
      <c r="G106" s="5" t="n">
        <v>2127</v>
      </c>
      <c r="H106" s="5" t="s">
        <v>46</v>
      </c>
      <c r="I106" s="5" t="s">
        <v>54</v>
      </c>
      <c r="J106" s="5" t="s">
        <v>55</v>
      </c>
      <c r="K106" s="6" t="n">
        <v>102</v>
      </c>
      <c r="L106" s="5" t="n">
        <v>2</v>
      </c>
      <c r="M106" s="7" t="n">
        <v>0</v>
      </c>
      <c r="N106" s="6" t="n">
        <v>43.16</v>
      </c>
    </row>
    <row r="107" customFormat="false" ht="15" hidden="false" customHeight="false" outlineLevel="0" collapsed="false">
      <c r="A107" s="5" t="s">
        <v>205</v>
      </c>
      <c r="B107" s="5" t="s">
        <v>83</v>
      </c>
      <c r="C107" s="5" t="s">
        <v>69</v>
      </c>
      <c r="D107" s="5" t="s">
        <v>43</v>
      </c>
      <c r="E107" s="5" t="s">
        <v>112</v>
      </c>
      <c r="F107" s="5" t="s">
        <v>63</v>
      </c>
      <c r="G107" s="5" t="n">
        <v>75217</v>
      </c>
      <c r="H107" s="5" t="s">
        <v>64</v>
      </c>
      <c r="I107" s="5" t="s">
        <v>54</v>
      </c>
      <c r="J107" s="5" t="s">
        <v>93</v>
      </c>
      <c r="K107" s="6" t="n">
        <v>33.95</v>
      </c>
      <c r="L107" s="5" t="n">
        <v>6</v>
      </c>
      <c r="M107" s="7" t="n">
        <v>0</v>
      </c>
      <c r="N107" s="6" t="n">
        <v>9.94</v>
      </c>
    </row>
    <row r="108" customFormat="false" ht="15" hidden="false" customHeight="false" outlineLevel="0" collapsed="false">
      <c r="A108" s="5" t="s">
        <v>206</v>
      </c>
      <c r="B108" s="5" t="s">
        <v>83</v>
      </c>
      <c r="C108" s="5" t="s">
        <v>69</v>
      </c>
      <c r="D108" s="5" t="s">
        <v>43</v>
      </c>
      <c r="E108" s="5" t="s">
        <v>62</v>
      </c>
      <c r="F108" s="5" t="s">
        <v>63</v>
      </c>
      <c r="G108" s="5" t="n">
        <v>77095</v>
      </c>
      <c r="H108" s="5" t="s">
        <v>64</v>
      </c>
      <c r="I108" s="5" t="s">
        <v>65</v>
      </c>
      <c r="J108" s="5" t="s">
        <v>138</v>
      </c>
      <c r="K108" s="6" t="n">
        <v>10.43</v>
      </c>
      <c r="L108" s="5" t="n">
        <v>6</v>
      </c>
      <c r="M108" s="7" t="n">
        <v>0</v>
      </c>
      <c r="N108" s="6" t="n">
        <v>3.13</v>
      </c>
    </row>
    <row r="109" customFormat="false" ht="15" hidden="false" customHeight="false" outlineLevel="0" collapsed="false">
      <c r="A109" s="5" t="s">
        <v>207</v>
      </c>
      <c r="B109" s="5" t="s">
        <v>41</v>
      </c>
      <c r="C109" s="5" t="s">
        <v>69</v>
      </c>
      <c r="D109" s="5" t="s">
        <v>43</v>
      </c>
      <c r="E109" s="5" t="s">
        <v>79</v>
      </c>
      <c r="F109" s="5" t="s">
        <v>80</v>
      </c>
      <c r="G109" s="5" t="n">
        <v>2127</v>
      </c>
      <c r="H109" s="5" t="s">
        <v>46</v>
      </c>
      <c r="I109" s="5" t="s">
        <v>47</v>
      </c>
      <c r="J109" s="5" t="s">
        <v>48</v>
      </c>
      <c r="K109" s="6" t="n">
        <v>152.45</v>
      </c>
      <c r="L109" s="5" t="n">
        <v>2</v>
      </c>
      <c r="M109" s="7" t="n">
        <v>0.2</v>
      </c>
      <c r="N109" s="6" t="n">
        <v>7.25</v>
      </c>
    </row>
    <row r="110" customFormat="false" ht="15" hidden="false" customHeight="false" outlineLevel="0" collapsed="false">
      <c r="A110" s="5" t="s">
        <v>208</v>
      </c>
      <c r="B110" s="5" t="s">
        <v>68</v>
      </c>
      <c r="C110" s="5" t="s">
        <v>42</v>
      </c>
      <c r="D110" s="5" t="s">
        <v>43</v>
      </c>
      <c r="E110" s="5" t="s">
        <v>79</v>
      </c>
      <c r="F110" s="5" t="s">
        <v>80</v>
      </c>
      <c r="G110" s="5" t="n">
        <v>2127</v>
      </c>
      <c r="H110" s="5" t="s">
        <v>46</v>
      </c>
      <c r="I110" s="5" t="s">
        <v>65</v>
      </c>
      <c r="J110" s="5" t="s">
        <v>109</v>
      </c>
      <c r="K110" s="6" t="n">
        <v>51.09</v>
      </c>
      <c r="L110" s="5" t="n">
        <v>5</v>
      </c>
      <c r="M110" s="7" t="n">
        <v>0.1</v>
      </c>
      <c r="N110" s="6" t="n">
        <v>14.27</v>
      </c>
    </row>
    <row r="111" customFormat="false" ht="15" hidden="false" customHeight="false" outlineLevel="0" collapsed="false">
      <c r="A111" s="5" t="s">
        <v>209</v>
      </c>
      <c r="B111" s="5" t="s">
        <v>41</v>
      </c>
      <c r="C111" s="5" t="s">
        <v>42</v>
      </c>
      <c r="D111" s="5" t="s">
        <v>43</v>
      </c>
      <c r="E111" s="5" t="s">
        <v>62</v>
      </c>
      <c r="F111" s="5" t="s">
        <v>63</v>
      </c>
      <c r="G111" s="5" t="n">
        <v>77095</v>
      </c>
      <c r="H111" s="5" t="s">
        <v>64</v>
      </c>
      <c r="I111" s="5" t="s">
        <v>54</v>
      </c>
      <c r="J111" s="5" t="s">
        <v>93</v>
      </c>
      <c r="K111" s="6" t="n">
        <v>284.56</v>
      </c>
      <c r="L111" s="5" t="n">
        <v>2</v>
      </c>
      <c r="M111" s="7" t="n">
        <v>0.1</v>
      </c>
      <c r="N111" s="6" t="n">
        <v>115.46</v>
      </c>
    </row>
    <row r="112" customFormat="false" ht="15" hidden="false" customHeight="false" outlineLevel="0" collapsed="false">
      <c r="A112" s="5" t="s">
        <v>210</v>
      </c>
      <c r="B112" s="5" t="s">
        <v>41</v>
      </c>
      <c r="C112" s="5" t="s">
        <v>42</v>
      </c>
      <c r="D112" s="5" t="s">
        <v>43</v>
      </c>
      <c r="E112" s="5" t="s">
        <v>58</v>
      </c>
      <c r="F112" s="5" t="s">
        <v>59</v>
      </c>
      <c r="G112" s="5" t="n">
        <v>30318</v>
      </c>
      <c r="H112" s="5" t="s">
        <v>53</v>
      </c>
      <c r="I112" s="5" t="s">
        <v>65</v>
      </c>
      <c r="J112" s="5" t="s">
        <v>109</v>
      </c>
      <c r="K112" s="6" t="n">
        <v>25.31</v>
      </c>
      <c r="L112" s="5" t="n">
        <v>7</v>
      </c>
      <c r="M112" s="7" t="n">
        <v>0.2</v>
      </c>
      <c r="N112" s="6" t="n">
        <v>4.83</v>
      </c>
    </row>
    <row r="113" customFormat="false" ht="15" hidden="false" customHeight="false" outlineLevel="0" collapsed="false">
      <c r="A113" s="5" t="s">
        <v>211</v>
      </c>
      <c r="B113" s="5" t="s">
        <v>83</v>
      </c>
      <c r="C113" s="5" t="s">
        <v>50</v>
      </c>
      <c r="D113" s="5" t="s">
        <v>43</v>
      </c>
      <c r="E113" s="5" t="s">
        <v>51</v>
      </c>
      <c r="F113" s="5" t="s">
        <v>52</v>
      </c>
      <c r="G113" s="5" t="n">
        <v>37211</v>
      </c>
      <c r="H113" s="5" t="s">
        <v>53</v>
      </c>
      <c r="I113" s="5" t="s">
        <v>54</v>
      </c>
      <c r="J113" s="5" t="s">
        <v>73</v>
      </c>
      <c r="K113" s="6" t="n">
        <v>135.28</v>
      </c>
      <c r="L113" s="5" t="n">
        <v>8</v>
      </c>
      <c r="M113" s="7" t="n">
        <v>0.1</v>
      </c>
      <c r="N113" s="6" t="n">
        <v>45.93</v>
      </c>
    </row>
    <row r="114" customFormat="false" ht="15" hidden="false" customHeight="false" outlineLevel="0" collapsed="false">
      <c r="A114" s="5" t="s">
        <v>212</v>
      </c>
      <c r="B114" s="5" t="s">
        <v>68</v>
      </c>
      <c r="C114" s="5" t="s">
        <v>50</v>
      </c>
      <c r="D114" s="5" t="s">
        <v>43</v>
      </c>
      <c r="E114" s="5" t="s">
        <v>100</v>
      </c>
      <c r="F114" s="5" t="s">
        <v>101</v>
      </c>
      <c r="G114" s="5" t="n">
        <v>19140</v>
      </c>
      <c r="H114" s="5" t="s">
        <v>46</v>
      </c>
      <c r="I114" s="5" t="s">
        <v>47</v>
      </c>
      <c r="J114" s="5" t="s">
        <v>60</v>
      </c>
      <c r="K114" s="6" t="n">
        <v>43.49</v>
      </c>
      <c r="L114" s="5" t="n">
        <v>7</v>
      </c>
      <c r="M114" s="7" t="n">
        <v>0.1</v>
      </c>
      <c r="N114" s="6" t="n">
        <v>3.9</v>
      </c>
    </row>
    <row r="115" customFormat="false" ht="15" hidden="false" customHeight="false" outlineLevel="0" collapsed="false">
      <c r="A115" s="5" t="s">
        <v>213</v>
      </c>
      <c r="B115" s="5" t="s">
        <v>57</v>
      </c>
      <c r="C115" s="5" t="s">
        <v>50</v>
      </c>
      <c r="D115" s="5" t="s">
        <v>43</v>
      </c>
      <c r="E115" s="5" t="s">
        <v>104</v>
      </c>
      <c r="F115" s="5" t="s">
        <v>105</v>
      </c>
      <c r="G115" s="5" t="n">
        <v>28205</v>
      </c>
      <c r="H115" s="5" t="s">
        <v>53</v>
      </c>
      <c r="I115" s="5" t="s">
        <v>47</v>
      </c>
      <c r="J115" s="5" t="s">
        <v>86</v>
      </c>
      <c r="K115" s="6" t="n">
        <v>361.38</v>
      </c>
      <c r="L115" s="5" t="n">
        <v>5</v>
      </c>
      <c r="M115" s="7" t="n">
        <v>0.3</v>
      </c>
      <c r="N115" s="6" t="n">
        <v>-44.12</v>
      </c>
    </row>
    <row r="116" customFormat="false" ht="15" hidden="false" customHeight="false" outlineLevel="0" collapsed="false">
      <c r="A116" s="5" t="s">
        <v>214</v>
      </c>
      <c r="B116" s="5" t="s">
        <v>41</v>
      </c>
      <c r="C116" s="5" t="s">
        <v>69</v>
      </c>
      <c r="D116" s="5" t="s">
        <v>43</v>
      </c>
      <c r="E116" s="5" t="s">
        <v>95</v>
      </c>
      <c r="F116" s="5" t="s">
        <v>96</v>
      </c>
      <c r="G116" s="5" t="n">
        <v>97206</v>
      </c>
      <c r="H116" s="5" t="s">
        <v>72</v>
      </c>
      <c r="I116" s="5" t="s">
        <v>47</v>
      </c>
      <c r="J116" s="5" t="s">
        <v>84</v>
      </c>
      <c r="K116" s="6" t="n">
        <v>90.89</v>
      </c>
      <c r="L116" s="5" t="n">
        <v>5</v>
      </c>
      <c r="M116" s="7" t="n">
        <v>0</v>
      </c>
      <c r="N116" s="6" t="n">
        <v>4.34</v>
      </c>
    </row>
    <row r="117" customFormat="false" ht="15" hidden="false" customHeight="false" outlineLevel="0" collapsed="false">
      <c r="A117" s="5" t="s">
        <v>215</v>
      </c>
      <c r="B117" s="5" t="s">
        <v>57</v>
      </c>
      <c r="C117" s="5" t="s">
        <v>69</v>
      </c>
      <c r="D117" s="5" t="s">
        <v>43</v>
      </c>
      <c r="E117" s="5" t="s">
        <v>176</v>
      </c>
      <c r="F117" s="5" t="s">
        <v>177</v>
      </c>
      <c r="G117" s="5" t="n">
        <v>55407</v>
      </c>
      <c r="H117" s="5" t="s">
        <v>64</v>
      </c>
      <c r="I117" s="5" t="s">
        <v>54</v>
      </c>
      <c r="J117" s="5" t="s">
        <v>73</v>
      </c>
      <c r="K117" s="6" t="n">
        <v>177.32</v>
      </c>
      <c r="L117" s="5" t="n">
        <v>7</v>
      </c>
      <c r="M117" s="7" t="n">
        <v>0</v>
      </c>
      <c r="N117" s="6" t="n">
        <v>-39.06</v>
      </c>
    </row>
    <row r="118" customFormat="false" ht="15" hidden="false" customHeight="false" outlineLevel="0" collapsed="false">
      <c r="A118" s="5" t="s">
        <v>216</v>
      </c>
      <c r="B118" s="5" t="s">
        <v>41</v>
      </c>
      <c r="C118" s="5" t="s">
        <v>50</v>
      </c>
      <c r="D118" s="5" t="s">
        <v>43</v>
      </c>
      <c r="E118" s="5" t="s">
        <v>100</v>
      </c>
      <c r="F118" s="5" t="s">
        <v>101</v>
      </c>
      <c r="G118" s="5" t="n">
        <v>19140</v>
      </c>
      <c r="H118" s="5" t="s">
        <v>46</v>
      </c>
      <c r="I118" s="5" t="s">
        <v>47</v>
      </c>
      <c r="J118" s="5" t="s">
        <v>84</v>
      </c>
      <c r="K118" s="6" t="n">
        <v>67.74</v>
      </c>
      <c r="L118" s="5" t="n">
        <v>5</v>
      </c>
      <c r="M118" s="7" t="n">
        <v>0.2</v>
      </c>
      <c r="N118" s="6" t="n">
        <v>-9.62</v>
      </c>
    </row>
    <row r="119" customFormat="false" ht="15" hidden="false" customHeight="false" outlineLevel="0" collapsed="false">
      <c r="A119" s="5" t="s">
        <v>217</v>
      </c>
      <c r="B119" s="5" t="s">
        <v>68</v>
      </c>
      <c r="C119" s="5" t="s">
        <v>42</v>
      </c>
      <c r="D119" s="5" t="s">
        <v>43</v>
      </c>
      <c r="E119" s="5" t="s">
        <v>79</v>
      </c>
      <c r="F119" s="5" t="s">
        <v>80</v>
      </c>
      <c r="G119" s="5" t="n">
        <v>2127</v>
      </c>
      <c r="H119" s="5" t="s">
        <v>46</v>
      </c>
      <c r="I119" s="5" t="s">
        <v>54</v>
      </c>
      <c r="J119" s="5" t="s">
        <v>55</v>
      </c>
      <c r="K119" s="6" t="n">
        <v>74.96</v>
      </c>
      <c r="L119" s="5" t="n">
        <v>4</v>
      </c>
      <c r="M119" s="7" t="n">
        <v>0</v>
      </c>
      <c r="N119" s="6" t="n">
        <v>32.21</v>
      </c>
    </row>
    <row r="120" customFormat="false" ht="15" hidden="false" customHeight="false" outlineLevel="0" collapsed="false">
      <c r="A120" s="5" t="s">
        <v>218</v>
      </c>
      <c r="B120" s="5" t="s">
        <v>68</v>
      </c>
      <c r="C120" s="5" t="s">
        <v>50</v>
      </c>
      <c r="D120" s="5" t="s">
        <v>43</v>
      </c>
      <c r="E120" s="5" t="s">
        <v>70</v>
      </c>
      <c r="F120" s="5" t="s">
        <v>71</v>
      </c>
      <c r="G120" s="5" t="n">
        <v>80219</v>
      </c>
      <c r="H120" s="5" t="s">
        <v>72</v>
      </c>
      <c r="I120" s="5" t="s">
        <v>65</v>
      </c>
      <c r="J120" s="5" t="s">
        <v>109</v>
      </c>
      <c r="K120" s="6" t="n">
        <v>173.48</v>
      </c>
      <c r="L120" s="5" t="n">
        <v>6</v>
      </c>
      <c r="M120" s="7" t="n">
        <v>0.2</v>
      </c>
      <c r="N120" s="6" t="n">
        <v>25.6</v>
      </c>
    </row>
    <row r="121" customFormat="false" ht="15" hidden="false" customHeight="false" outlineLevel="0" collapsed="false">
      <c r="A121" s="5" t="s">
        <v>219</v>
      </c>
      <c r="B121" s="5" t="s">
        <v>83</v>
      </c>
      <c r="C121" s="5" t="s">
        <v>50</v>
      </c>
      <c r="D121" s="5" t="s">
        <v>43</v>
      </c>
      <c r="E121" s="5" t="s">
        <v>44</v>
      </c>
      <c r="F121" s="5" t="s">
        <v>45</v>
      </c>
      <c r="G121" s="5" t="n">
        <v>10011</v>
      </c>
      <c r="H121" s="5" t="s">
        <v>46</v>
      </c>
      <c r="I121" s="5" t="s">
        <v>47</v>
      </c>
      <c r="J121" s="5" t="s">
        <v>48</v>
      </c>
      <c r="K121" s="6" t="n">
        <v>121.65</v>
      </c>
      <c r="L121" s="5" t="n">
        <v>7</v>
      </c>
      <c r="M121" s="7" t="n">
        <v>0</v>
      </c>
      <c r="N121" s="6" t="n">
        <v>11.71</v>
      </c>
    </row>
    <row r="122" customFormat="false" ht="15" hidden="false" customHeight="false" outlineLevel="0" collapsed="false">
      <c r="A122" s="5" t="s">
        <v>220</v>
      </c>
      <c r="B122" s="5" t="s">
        <v>57</v>
      </c>
      <c r="C122" s="5" t="s">
        <v>69</v>
      </c>
      <c r="D122" s="5" t="s">
        <v>43</v>
      </c>
      <c r="E122" s="5" t="s">
        <v>104</v>
      </c>
      <c r="F122" s="5" t="s">
        <v>105</v>
      </c>
      <c r="G122" s="5" t="n">
        <v>28205</v>
      </c>
      <c r="H122" s="5" t="s">
        <v>53</v>
      </c>
      <c r="I122" s="5" t="s">
        <v>47</v>
      </c>
      <c r="J122" s="5" t="s">
        <v>60</v>
      </c>
      <c r="K122" s="6" t="n">
        <v>269.82</v>
      </c>
      <c r="L122" s="5" t="n">
        <v>2</v>
      </c>
      <c r="M122" s="7" t="n">
        <v>0.2</v>
      </c>
      <c r="N122" s="6" t="n">
        <v>1.67</v>
      </c>
    </row>
    <row r="123" customFormat="false" ht="15" hidden="false" customHeight="false" outlineLevel="0" collapsed="false">
      <c r="A123" s="5" t="s">
        <v>221</v>
      </c>
      <c r="B123" s="5" t="s">
        <v>83</v>
      </c>
      <c r="C123" s="5" t="s">
        <v>42</v>
      </c>
      <c r="D123" s="5" t="s">
        <v>43</v>
      </c>
      <c r="E123" s="5" t="s">
        <v>44</v>
      </c>
      <c r="F123" s="5" t="s">
        <v>45</v>
      </c>
      <c r="G123" s="5" t="n">
        <v>10011</v>
      </c>
      <c r="H123" s="5" t="s">
        <v>46</v>
      </c>
      <c r="I123" s="5" t="s">
        <v>65</v>
      </c>
      <c r="J123" s="5" t="s">
        <v>81</v>
      </c>
      <c r="K123" s="6" t="n">
        <v>113.83</v>
      </c>
      <c r="L123" s="5" t="n">
        <v>1</v>
      </c>
      <c r="M123" s="7" t="n">
        <v>0.1</v>
      </c>
      <c r="N123" s="6" t="n">
        <v>32.6</v>
      </c>
    </row>
    <row r="124" customFormat="false" ht="15" hidden="false" customHeight="false" outlineLevel="0" collapsed="false">
      <c r="A124" s="5" t="s">
        <v>222</v>
      </c>
      <c r="B124" s="5" t="s">
        <v>57</v>
      </c>
      <c r="C124" s="5" t="s">
        <v>42</v>
      </c>
      <c r="D124" s="5" t="s">
        <v>43</v>
      </c>
      <c r="E124" s="5" t="s">
        <v>107</v>
      </c>
      <c r="F124" s="5" t="s">
        <v>108</v>
      </c>
      <c r="G124" s="5" t="n">
        <v>7102</v>
      </c>
      <c r="H124" s="5" t="s">
        <v>46</v>
      </c>
      <c r="I124" s="5" t="s">
        <v>54</v>
      </c>
      <c r="J124" s="5" t="s">
        <v>77</v>
      </c>
      <c r="K124" s="6" t="n">
        <v>46.5</v>
      </c>
      <c r="L124" s="5" t="n">
        <v>6</v>
      </c>
      <c r="M124" s="7" t="n">
        <v>0</v>
      </c>
      <c r="N124" s="6" t="n">
        <v>20.59</v>
      </c>
    </row>
    <row r="125" customFormat="false" ht="15" hidden="false" customHeight="false" outlineLevel="0" collapsed="false">
      <c r="A125" s="5" t="s">
        <v>223</v>
      </c>
      <c r="B125" s="5" t="s">
        <v>41</v>
      </c>
      <c r="C125" s="5" t="s">
        <v>42</v>
      </c>
      <c r="D125" s="5" t="s">
        <v>43</v>
      </c>
      <c r="E125" s="5" t="s">
        <v>91</v>
      </c>
      <c r="F125" s="5" t="s">
        <v>92</v>
      </c>
      <c r="G125" s="5" t="n">
        <v>33311</v>
      </c>
      <c r="H125" s="5" t="s">
        <v>53</v>
      </c>
      <c r="I125" s="5" t="s">
        <v>65</v>
      </c>
      <c r="J125" s="5" t="s">
        <v>109</v>
      </c>
      <c r="K125" s="6" t="n">
        <v>102.12</v>
      </c>
      <c r="L125" s="5" t="n">
        <v>7</v>
      </c>
      <c r="M125" s="7" t="n">
        <v>0.2</v>
      </c>
      <c r="N125" s="6" t="n">
        <v>13.73</v>
      </c>
    </row>
    <row r="126" customFormat="false" ht="15" hidden="false" customHeight="false" outlineLevel="0" collapsed="false">
      <c r="A126" s="5" t="s">
        <v>224</v>
      </c>
      <c r="B126" s="5" t="s">
        <v>57</v>
      </c>
      <c r="C126" s="5" t="s">
        <v>50</v>
      </c>
      <c r="D126" s="5" t="s">
        <v>43</v>
      </c>
      <c r="E126" s="5" t="s">
        <v>51</v>
      </c>
      <c r="F126" s="5" t="s">
        <v>52</v>
      </c>
      <c r="G126" s="5" t="n">
        <v>37211</v>
      </c>
      <c r="H126" s="5" t="s">
        <v>53</v>
      </c>
      <c r="I126" s="5" t="s">
        <v>54</v>
      </c>
      <c r="J126" s="5" t="s">
        <v>73</v>
      </c>
      <c r="K126" s="6" t="n">
        <v>38.74</v>
      </c>
      <c r="L126" s="5" t="n">
        <v>4</v>
      </c>
      <c r="M126" s="7" t="n">
        <v>0.2</v>
      </c>
      <c r="N126" s="6" t="n">
        <v>8.68</v>
      </c>
    </row>
    <row r="127" customFormat="false" ht="15" hidden="false" customHeight="false" outlineLevel="0" collapsed="false">
      <c r="A127" s="5" t="s">
        <v>225</v>
      </c>
      <c r="B127" s="5" t="s">
        <v>83</v>
      </c>
      <c r="C127" s="5" t="s">
        <v>42</v>
      </c>
      <c r="D127" s="5" t="s">
        <v>43</v>
      </c>
      <c r="E127" s="5" t="s">
        <v>100</v>
      </c>
      <c r="F127" s="5" t="s">
        <v>101</v>
      </c>
      <c r="G127" s="5" t="n">
        <v>19140</v>
      </c>
      <c r="H127" s="5" t="s">
        <v>46</v>
      </c>
      <c r="I127" s="5" t="s">
        <v>65</v>
      </c>
      <c r="J127" s="5" t="s">
        <v>81</v>
      </c>
      <c r="K127" s="6" t="n">
        <v>43.44</v>
      </c>
      <c r="L127" s="5" t="n">
        <v>6</v>
      </c>
      <c r="M127" s="7" t="n">
        <v>0.4</v>
      </c>
      <c r="N127" s="6" t="n">
        <v>4.51</v>
      </c>
    </row>
    <row r="128" customFormat="false" ht="15" hidden="false" customHeight="false" outlineLevel="0" collapsed="false">
      <c r="A128" s="5" t="s">
        <v>226</v>
      </c>
      <c r="B128" s="5" t="s">
        <v>41</v>
      </c>
      <c r="C128" s="5" t="s">
        <v>69</v>
      </c>
      <c r="D128" s="5" t="s">
        <v>43</v>
      </c>
      <c r="E128" s="5" t="s">
        <v>107</v>
      </c>
      <c r="F128" s="5" t="s">
        <v>108</v>
      </c>
      <c r="G128" s="5" t="n">
        <v>7102</v>
      </c>
      <c r="H128" s="5" t="s">
        <v>46</v>
      </c>
      <c r="I128" s="5" t="s">
        <v>47</v>
      </c>
      <c r="J128" s="5" t="s">
        <v>84</v>
      </c>
      <c r="K128" s="6" t="n">
        <v>108.24</v>
      </c>
      <c r="L128" s="5" t="n">
        <v>2</v>
      </c>
      <c r="M128" s="7" t="n">
        <v>0.5</v>
      </c>
      <c r="N128" s="6" t="n">
        <v>-33.24</v>
      </c>
    </row>
    <row r="129" customFormat="false" ht="15" hidden="false" customHeight="false" outlineLevel="0" collapsed="false">
      <c r="A129" s="5" t="s">
        <v>227</v>
      </c>
      <c r="B129" s="5" t="s">
        <v>68</v>
      </c>
      <c r="C129" s="5" t="s">
        <v>69</v>
      </c>
      <c r="D129" s="5" t="s">
        <v>43</v>
      </c>
      <c r="E129" s="5" t="s">
        <v>70</v>
      </c>
      <c r="F129" s="5" t="s">
        <v>71</v>
      </c>
      <c r="G129" s="5" t="n">
        <v>80219</v>
      </c>
      <c r="H129" s="5" t="s">
        <v>72</v>
      </c>
      <c r="I129" s="5" t="s">
        <v>65</v>
      </c>
      <c r="J129" s="5" t="s">
        <v>138</v>
      </c>
      <c r="K129" s="6" t="n">
        <v>13.25</v>
      </c>
      <c r="L129" s="5" t="n">
        <v>8</v>
      </c>
      <c r="M129" s="7" t="n">
        <v>0.4</v>
      </c>
      <c r="N129" s="6" t="n">
        <v>0.57</v>
      </c>
    </row>
    <row r="130" customFormat="false" ht="15" hidden="false" customHeight="false" outlineLevel="0" collapsed="false">
      <c r="A130" s="5" t="s">
        <v>148</v>
      </c>
      <c r="B130" s="5" t="s">
        <v>41</v>
      </c>
      <c r="C130" s="5" t="s">
        <v>69</v>
      </c>
      <c r="D130" s="5" t="s">
        <v>43</v>
      </c>
      <c r="E130" s="5" t="s">
        <v>62</v>
      </c>
      <c r="F130" s="5" t="s">
        <v>63</v>
      </c>
      <c r="G130" s="5" t="n">
        <v>77095</v>
      </c>
      <c r="H130" s="5" t="s">
        <v>64</v>
      </c>
      <c r="I130" s="5" t="s">
        <v>54</v>
      </c>
      <c r="J130" s="5" t="s">
        <v>93</v>
      </c>
      <c r="K130" s="6" t="n">
        <v>211.67</v>
      </c>
      <c r="L130" s="5" t="n">
        <v>3</v>
      </c>
      <c r="M130" s="7" t="n">
        <v>0</v>
      </c>
      <c r="N130" s="6" t="n">
        <v>100.8</v>
      </c>
    </row>
    <row r="131" customFormat="false" ht="15" hidden="false" customHeight="false" outlineLevel="0" collapsed="false">
      <c r="A131" s="5" t="s">
        <v>228</v>
      </c>
      <c r="B131" s="5" t="s">
        <v>68</v>
      </c>
      <c r="C131" s="5" t="s">
        <v>42</v>
      </c>
      <c r="D131" s="5" t="s">
        <v>43</v>
      </c>
      <c r="E131" s="5" t="s">
        <v>95</v>
      </c>
      <c r="F131" s="5" t="s">
        <v>96</v>
      </c>
      <c r="G131" s="5" t="n">
        <v>97206</v>
      </c>
      <c r="H131" s="5" t="s">
        <v>72</v>
      </c>
      <c r="I131" s="5" t="s">
        <v>65</v>
      </c>
      <c r="J131" s="5" t="s">
        <v>109</v>
      </c>
      <c r="K131" s="6" t="n">
        <v>64.73</v>
      </c>
      <c r="L131" s="5" t="n">
        <v>3</v>
      </c>
      <c r="M131" s="7" t="n">
        <v>0</v>
      </c>
      <c r="N131" s="6" t="n">
        <v>16.47</v>
      </c>
    </row>
    <row r="132" customFormat="false" ht="15" hidden="false" customHeight="false" outlineLevel="0" collapsed="false">
      <c r="A132" s="5" t="s">
        <v>229</v>
      </c>
      <c r="B132" s="5" t="s">
        <v>68</v>
      </c>
      <c r="C132" s="5" t="s">
        <v>42</v>
      </c>
      <c r="D132" s="5" t="s">
        <v>43</v>
      </c>
      <c r="E132" s="5" t="s">
        <v>104</v>
      </c>
      <c r="F132" s="5" t="s">
        <v>105</v>
      </c>
      <c r="G132" s="5" t="n">
        <v>28205</v>
      </c>
      <c r="H132" s="5" t="s">
        <v>53</v>
      </c>
      <c r="I132" s="5" t="s">
        <v>65</v>
      </c>
      <c r="J132" s="5" t="s">
        <v>122</v>
      </c>
      <c r="K132" s="6" t="n">
        <v>23.11</v>
      </c>
      <c r="L132" s="5" t="n">
        <v>1</v>
      </c>
      <c r="M132" s="7" t="n">
        <v>0</v>
      </c>
      <c r="N132" s="6" t="n">
        <v>10.33</v>
      </c>
    </row>
    <row r="133" customFormat="false" ht="15" hidden="false" customHeight="false" outlineLevel="0" collapsed="false">
      <c r="A133" s="5" t="s">
        <v>230</v>
      </c>
      <c r="B133" s="5" t="s">
        <v>57</v>
      </c>
      <c r="C133" s="5" t="s">
        <v>42</v>
      </c>
      <c r="D133" s="5" t="s">
        <v>43</v>
      </c>
      <c r="E133" s="5" t="s">
        <v>118</v>
      </c>
      <c r="F133" s="5" t="s">
        <v>119</v>
      </c>
      <c r="G133" s="5" t="n">
        <v>98103</v>
      </c>
      <c r="H133" s="5" t="s">
        <v>72</v>
      </c>
      <c r="I133" s="5" t="s">
        <v>65</v>
      </c>
      <c r="J133" s="5" t="s">
        <v>122</v>
      </c>
      <c r="K133" s="6" t="n">
        <v>52.24</v>
      </c>
      <c r="L133" s="5" t="n">
        <v>6</v>
      </c>
      <c r="M133" s="7" t="n">
        <v>0</v>
      </c>
      <c r="N133" s="6" t="n">
        <v>25.1</v>
      </c>
    </row>
    <row r="134" customFormat="false" ht="15" hidden="false" customHeight="false" outlineLevel="0" collapsed="false">
      <c r="A134" s="5" t="s">
        <v>189</v>
      </c>
      <c r="B134" s="5" t="s">
        <v>83</v>
      </c>
      <c r="C134" s="5" t="s">
        <v>50</v>
      </c>
      <c r="D134" s="5" t="s">
        <v>43</v>
      </c>
      <c r="E134" s="5" t="s">
        <v>75</v>
      </c>
      <c r="F134" s="5" t="s">
        <v>76</v>
      </c>
      <c r="G134" s="5" t="n">
        <v>60610</v>
      </c>
      <c r="H134" s="5" t="s">
        <v>64</v>
      </c>
      <c r="I134" s="5" t="s">
        <v>65</v>
      </c>
      <c r="J134" s="5" t="s">
        <v>120</v>
      </c>
      <c r="K134" s="6" t="n">
        <v>281.44</v>
      </c>
      <c r="L134" s="5" t="n">
        <v>5</v>
      </c>
      <c r="M134" s="7" t="n">
        <v>0.1</v>
      </c>
      <c r="N134" s="6" t="n">
        <v>50.48</v>
      </c>
    </row>
    <row r="135" customFormat="false" ht="15" hidden="false" customHeight="false" outlineLevel="0" collapsed="false">
      <c r="A135" s="5" t="s">
        <v>231</v>
      </c>
      <c r="B135" s="5" t="s">
        <v>68</v>
      </c>
      <c r="C135" s="5" t="s">
        <v>69</v>
      </c>
      <c r="D135" s="5" t="s">
        <v>43</v>
      </c>
      <c r="E135" s="5" t="s">
        <v>79</v>
      </c>
      <c r="F135" s="5" t="s">
        <v>80</v>
      </c>
      <c r="G135" s="5" t="n">
        <v>2127</v>
      </c>
      <c r="H135" s="5" t="s">
        <v>46</v>
      </c>
      <c r="I135" s="5" t="s">
        <v>47</v>
      </c>
      <c r="J135" s="5" t="s">
        <v>60</v>
      </c>
      <c r="K135" s="6" t="n">
        <v>188.13</v>
      </c>
      <c r="L135" s="5" t="n">
        <v>6</v>
      </c>
      <c r="M135" s="7" t="n">
        <v>0</v>
      </c>
      <c r="N135" s="6" t="n">
        <v>34.07</v>
      </c>
    </row>
    <row r="136" customFormat="false" ht="15" hidden="false" customHeight="false" outlineLevel="0" collapsed="false">
      <c r="A136" s="5" t="s">
        <v>205</v>
      </c>
      <c r="B136" s="5" t="s">
        <v>83</v>
      </c>
      <c r="C136" s="5" t="s">
        <v>69</v>
      </c>
      <c r="D136" s="5" t="s">
        <v>43</v>
      </c>
      <c r="E136" s="5" t="s">
        <v>112</v>
      </c>
      <c r="F136" s="5" t="s">
        <v>63</v>
      </c>
      <c r="G136" s="5" t="n">
        <v>75217</v>
      </c>
      <c r="H136" s="5" t="s">
        <v>64</v>
      </c>
      <c r="I136" s="5" t="s">
        <v>54</v>
      </c>
      <c r="J136" s="5" t="s">
        <v>55</v>
      </c>
      <c r="K136" s="6" t="n">
        <v>48.08</v>
      </c>
      <c r="L136" s="5" t="n">
        <v>6</v>
      </c>
      <c r="M136" s="7" t="n">
        <v>0</v>
      </c>
      <c r="N136" s="6" t="n">
        <v>14.94</v>
      </c>
    </row>
    <row r="137" customFormat="false" ht="15" hidden="false" customHeight="false" outlineLevel="0" collapsed="false">
      <c r="A137" s="5" t="s">
        <v>232</v>
      </c>
      <c r="B137" s="5" t="s">
        <v>68</v>
      </c>
      <c r="C137" s="5" t="s">
        <v>42</v>
      </c>
      <c r="D137" s="5" t="s">
        <v>43</v>
      </c>
      <c r="E137" s="5" t="s">
        <v>70</v>
      </c>
      <c r="F137" s="5" t="s">
        <v>71</v>
      </c>
      <c r="G137" s="5" t="n">
        <v>80219</v>
      </c>
      <c r="H137" s="5" t="s">
        <v>72</v>
      </c>
      <c r="I137" s="5" t="s">
        <v>54</v>
      </c>
      <c r="J137" s="5" t="s">
        <v>73</v>
      </c>
      <c r="K137" s="6" t="n">
        <v>93.2</v>
      </c>
      <c r="L137" s="5" t="n">
        <v>6</v>
      </c>
      <c r="M137" s="7" t="n">
        <v>0.2</v>
      </c>
      <c r="N137" s="6" t="n">
        <v>-11.54</v>
      </c>
    </row>
    <row r="138" customFormat="false" ht="15" hidden="false" customHeight="false" outlineLevel="0" collapsed="false">
      <c r="A138" s="5" t="s">
        <v>233</v>
      </c>
      <c r="B138" s="5" t="s">
        <v>57</v>
      </c>
      <c r="C138" s="5" t="s">
        <v>50</v>
      </c>
      <c r="D138" s="5" t="s">
        <v>43</v>
      </c>
      <c r="E138" s="5" t="s">
        <v>91</v>
      </c>
      <c r="F138" s="5" t="s">
        <v>92</v>
      </c>
      <c r="G138" s="5" t="n">
        <v>33311</v>
      </c>
      <c r="H138" s="5" t="s">
        <v>53</v>
      </c>
      <c r="I138" s="5" t="s">
        <v>65</v>
      </c>
      <c r="J138" s="5" t="s">
        <v>81</v>
      </c>
      <c r="K138" s="6" t="n">
        <v>118.56</v>
      </c>
      <c r="L138" s="5" t="n">
        <v>3</v>
      </c>
      <c r="M138" s="7" t="n">
        <v>0.15</v>
      </c>
      <c r="N138" s="6" t="n">
        <v>17.19</v>
      </c>
    </row>
    <row r="139" customFormat="false" ht="15" hidden="false" customHeight="false" outlineLevel="0" collapsed="false">
      <c r="A139" s="5" t="s">
        <v>234</v>
      </c>
      <c r="B139" s="5" t="s">
        <v>68</v>
      </c>
      <c r="C139" s="5" t="s">
        <v>50</v>
      </c>
      <c r="D139" s="5" t="s">
        <v>43</v>
      </c>
      <c r="E139" s="5" t="s">
        <v>58</v>
      </c>
      <c r="F139" s="5" t="s">
        <v>59</v>
      </c>
      <c r="G139" s="5" t="n">
        <v>30318</v>
      </c>
      <c r="H139" s="5" t="s">
        <v>53</v>
      </c>
      <c r="I139" s="5" t="s">
        <v>47</v>
      </c>
      <c r="J139" s="5" t="s">
        <v>86</v>
      </c>
      <c r="K139" s="6" t="n">
        <v>527.15</v>
      </c>
      <c r="L139" s="5" t="n">
        <v>1</v>
      </c>
      <c r="M139" s="7" t="n">
        <v>0.7</v>
      </c>
      <c r="N139" s="6" t="n">
        <v>-206.78</v>
      </c>
    </row>
    <row r="140" customFormat="false" ht="15" hidden="false" customHeight="false" outlineLevel="0" collapsed="false">
      <c r="A140" s="5" t="s">
        <v>235</v>
      </c>
      <c r="B140" s="5" t="s">
        <v>57</v>
      </c>
      <c r="C140" s="5" t="s">
        <v>50</v>
      </c>
      <c r="D140" s="5" t="s">
        <v>43</v>
      </c>
      <c r="E140" s="5" t="s">
        <v>95</v>
      </c>
      <c r="F140" s="5" t="s">
        <v>96</v>
      </c>
      <c r="G140" s="5" t="n">
        <v>97206</v>
      </c>
      <c r="H140" s="5" t="s">
        <v>72</v>
      </c>
      <c r="I140" s="5" t="s">
        <v>65</v>
      </c>
      <c r="J140" s="5" t="s">
        <v>66</v>
      </c>
      <c r="K140" s="6" t="n">
        <v>678.03</v>
      </c>
      <c r="L140" s="5" t="n">
        <v>7</v>
      </c>
      <c r="M140" s="7" t="n">
        <v>0.7</v>
      </c>
      <c r="N140" s="6" t="n">
        <v>-126.57</v>
      </c>
    </row>
    <row r="141" customFormat="false" ht="15" hidden="false" customHeight="false" outlineLevel="0" collapsed="false">
      <c r="A141" s="5" t="s">
        <v>236</v>
      </c>
      <c r="B141" s="5" t="s">
        <v>68</v>
      </c>
      <c r="C141" s="5" t="s">
        <v>50</v>
      </c>
      <c r="D141" s="5" t="s">
        <v>43</v>
      </c>
      <c r="E141" s="5" t="s">
        <v>104</v>
      </c>
      <c r="F141" s="5" t="s">
        <v>105</v>
      </c>
      <c r="G141" s="5" t="n">
        <v>28205</v>
      </c>
      <c r="H141" s="5" t="s">
        <v>53</v>
      </c>
      <c r="I141" s="5" t="s">
        <v>65</v>
      </c>
      <c r="J141" s="5" t="s">
        <v>88</v>
      </c>
      <c r="K141" s="6" t="n">
        <v>20.45</v>
      </c>
      <c r="L141" s="5" t="n">
        <v>6</v>
      </c>
      <c r="M141" s="7" t="n">
        <v>0.2</v>
      </c>
      <c r="N141" s="6" t="n">
        <v>2.51</v>
      </c>
    </row>
    <row r="142" customFormat="false" ht="15" hidden="false" customHeight="false" outlineLevel="0" collapsed="false">
      <c r="A142" s="5" t="s">
        <v>237</v>
      </c>
      <c r="B142" s="5" t="s">
        <v>41</v>
      </c>
      <c r="C142" s="5" t="s">
        <v>42</v>
      </c>
      <c r="D142" s="5" t="s">
        <v>43</v>
      </c>
      <c r="E142" s="5" t="s">
        <v>91</v>
      </c>
      <c r="F142" s="5" t="s">
        <v>92</v>
      </c>
      <c r="G142" s="5" t="n">
        <v>33311</v>
      </c>
      <c r="H142" s="5" t="s">
        <v>53</v>
      </c>
      <c r="I142" s="5" t="s">
        <v>65</v>
      </c>
      <c r="J142" s="5" t="s">
        <v>88</v>
      </c>
      <c r="K142" s="6" t="n">
        <v>20.49</v>
      </c>
      <c r="L142" s="5" t="n">
        <v>9</v>
      </c>
      <c r="M142" s="7" t="n">
        <v>0.7</v>
      </c>
      <c r="N142" s="6" t="n">
        <v>-3</v>
      </c>
    </row>
    <row r="143" customFormat="false" ht="15" hidden="false" customHeight="false" outlineLevel="0" collapsed="false">
      <c r="A143" s="5" t="s">
        <v>238</v>
      </c>
      <c r="B143" s="5" t="s">
        <v>41</v>
      </c>
      <c r="C143" s="5" t="s">
        <v>42</v>
      </c>
      <c r="D143" s="5" t="s">
        <v>43</v>
      </c>
      <c r="E143" s="5" t="s">
        <v>95</v>
      </c>
      <c r="F143" s="5" t="s">
        <v>96</v>
      </c>
      <c r="G143" s="5" t="n">
        <v>97206</v>
      </c>
      <c r="H143" s="5" t="s">
        <v>72</v>
      </c>
      <c r="I143" s="5" t="s">
        <v>47</v>
      </c>
      <c r="J143" s="5" t="s">
        <v>84</v>
      </c>
      <c r="K143" s="6" t="n">
        <v>34.92</v>
      </c>
      <c r="L143" s="5" t="n">
        <v>5</v>
      </c>
      <c r="M143" s="7" t="n">
        <v>0.3</v>
      </c>
      <c r="N143" s="6" t="n">
        <v>-9.04</v>
      </c>
    </row>
    <row r="144" customFormat="false" ht="15" hidden="false" customHeight="false" outlineLevel="0" collapsed="false">
      <c r="A144" s="5" t="s">
        <v>160</v>
      </c>
      <c r="B144" s="5" t="s">
        <v>83</v>
      </c>
      <c r="C144" s="5" t="s">
        <v>42</v>
      </c>
      <c r="D144" s="5" t="s">
        <v>43</v>
      </c>
      <c r="E144" s="5" t="s">
        <v>75</v>
      </c>
      <c r="F144" s="5" t="s">
        <v>76</v>
      </c>
      <c r="G144" s="5" t="n">
        <v>60610</v>
      </c>
      <c r="H144" s="5" t="s">
        <v>64</v>
      </c>
      <c r="I144" s="5" t="s">
        <v>65</v>
      </c>
      <c r="J144" s="5" t="s">
        <v>109</v>
      </c>
      <c r="K144" s="6" t="n">
        <v>133.42</v>
      </c>
      <c r="L144" s="5" t="n">
        <v>2</v>
      </c>
      <c r="M144" s="7" t="n">
        <v>0.3</v>
      </c>
      <c r="N144" s="6" t="n">
        <v>8.7</v>
      </c>
    </row>
    <row r="145" customFormat="false" ht="15" hidden="false" customHeight="false" outlineLevel="0" collapsed="false">
      <c r="A145" s="5" t="s">
        <v>239</v>
      </c>
      <c r="B145" s="5" t="s">
        <v>83</v>
      </c>
      <c r="C145" s="5" t="s">
        <v>69</v>
      </c>
      <c r="D145" s="5" t="s">
        <v>43</v>
      </c>
      <c r="E145" s="5" t="s">
        <v>118</v>
      </c>
      <c r="F145" s="5" t="s">
        <v>119</v>
      </c>
      <c r="G145" s="5" t="n">
        <v>98103</v>
      </c>
      <c r="H145" s="5" t="s">
        <v>72</v>
      </c>
      <c r="I145" s="5" t="s">
        <v>65</v>
      </c>
      <c r="J145" s="5" t="s">
        <v>133</v>
      </c>
      <c r="K145" s="6" t="n">
        <v>27.92</v>
      </c>
      <c r="L145" s="5" t="n">
        <v>5</v>
      </c>
      <c r="M145" s="7" t="n">
        <v>0.4</v>
      </c>
      <c r="N145" s="6" t="n">
        <v>4.06</v>
      </c>
    </row>
    <row r="146" customFormat="false" ht="15" hidden="false" customHeight="false" outlineLevel="0" collapsed="false">
      <c r="A146" s="5" t="s">
        <v>240</v>
      </c>
      <c r="B146" s="5" t="s">
        <v>57</v>
      </c>
      <c r="C146" s="5" t="s">
        <v>42</v>
      </c>
      <c r="D146" s="5" t="s">
        <v>43</v>
      </c>
      <c r="E146" s="5" t="s">
        <v>70</v>
      </c>
      <c r="F146" s="5" t="s">
        <v>71</v>
      </c>
      <c r="G146" s="5" t="n">
        <v>80219</v>
      </c>
      <c r="H146" s="5" t="s">
        <v>72</v>
      </c>
      <c r="I146" s="5" t="s">
        <v>65</v>
      </c>
      <c r="J146" s="5" t="s">
        <v>88</v>
      </c>
      <c r="K146" s="6" t="n">
        <v>75.83</v>
      </c>
      <c r="L146" s="5" t="n">
        <v>1</v>
      </c>
      <c r="M146" s="7" t="n">
        <v>0</v>
      </c>
      <c r="N146" s="6" t="n">
        <v>19.15</v>
      </c>
    </row>
    <row r="147" customFormat="false" ht="15" hidden="false" customHeight="false" outlineLevel="0" collapsed="false">
      <c r="A147" s="5" t="s">
        <v>241</v>
      </c>
      <c r="B147" s="5" t="s">
        <v>68</v>
      </c>
      <c r="C147" s="5" t="s">
        <v>50</v>
      </c>
      <c r="D147" s="5" t="s">
        <v>43</v>
      </c>
      <c r="E147" s="5" t="s">
        <v>107</v>
      </c>
      <c r="F147" s="5" t="s">
        <v>108</v>
      </c>
      <c r="G147" s="5" t="n">
        <v>7102</v>
      </c>
      <c r="H147" s="5" t="s">
        <v>46</v>
      </c>
      <c r="I147" s="5" t="s">
        <v>47</v>
      </c>
      <c r="J147" s="5" t="s">
        <v>86</v>
      </c>
      <c r="K147" s="6" t="n">
        <v>37.12</v>
      </c>
      <c r="L147" s="5" t="n">
        <v>1</v>
      </c>
      <c r="M147" s="7" t="n">
        <v>0.2</v>
      </c>
      <c r="N147" s="6" t="n">
        <v>-4.51</v>
      </c>
    </row>
    <row r="148" customFormat="false" ht="15" hidden="false" customHeight="false" outlineLevel="0" collapsed="false">
      <c r="A148" s="5" t="s">
        <v>242</v>
      </c>
      <c r="B148" s="5" t="s">
        <v>57</v>
      </c>
      <c r="C148" s="5" t="s">
        <v>50</v>
      </c>
      <c r="D148" s="5" t="s">
        <v>43</v>
      </c>
      <c r="E148" s="5" t="s">
        <v>118</v>
      </c>
      <c r="F148" s="5" t="s">
        <v>119</v>
      </c>
      <c r="G148" s="5" t="n">
        <v>98103</v>
      </c>
      <c r="H148" s="5" t="s">
        <v>72</v>
      </c>
      <c r="I148" s="5" t="s">
        <v>54</v>
      </c>
      <c r="J148" s="5" t="s">
        <v>77</v>
      </c>
      <c r="K148" s="6" t="n">
        <v>237.17</v>
      </c>
      <c r="L148" s="5" t="n">
        <v>6</v>
      </c>
      <c r="M148" s="7" t="n">
        <v>0</v>
      </c>
      <c r="N148" s="6" t="n">
        <v>108.37</v>
      </c>
    </row>
    <row r="149" customFormat="false" ht="15" hidden="false" customHeight="false" outlineLevel="0" collapsed="false">
      <c r="A149" s="5" t="s">
        <v>243</v>
      </c>
      <c r="B149" s="5" t="s">
        <v>41</v>
      </c>
      <c r="C149" s="5" t="s">
        <v>69</v>
      </c>
      <c r="D149" s="5" t="s">
        <v>43</v>
      </c>
      <c r="E149" s="5" t="s">
        <v>112</v>
      </c>
      <c r="F149" s="5" t="s">
        <v>63</v>
      </c>
      <c r="G149" s="5" t="n">
        <v>75217</v>
      </c>
      <c r="H149" s="5" t="s">
        <v>64</v>
      </c>
      <c r="I149" s="5" t="s">
        <v>54</v>
      </c>
      <c r="J149" s="5" t="s">
        <v>93</v>
      </c>
      <c r="K149" s="6" t="n">
        <v>275.64</v>
      </c>
      <c r="L149" s="5" t="n">
        <v>9</v>
      </c>
      <c r="M149" s="7" t="n">
        <v>0.4</v>
      </c>
      <c r="N149" s="6" t="n">
        <v>54.56</v>
      </c>
    </row>
    <row r="150" customFormat="false" ht="15" hidden="false" customHeight="false" outlineLevel="0" collapsed="false">
      <c r="A150" s="5" t="s">
        <v>244</v>
      </c>
      <c r="B150" s="5" t="s">
        <v>68</v>
      </c>
      <c r="C150" s="5" t="s">
        <v>42</v>
      </c>
      <c r="D150" s="5" t="s">
        <v>43</v>
      </c>
      <c r="E150" s="5" t="s">
        <v>51</v>
      </c>
      <c r="F150" s="5" t="s">
        <v>52</v>
      </c>
      <c r="G150" s="5" t="n">
        <v>37211</v>
      </c>
      <c r="H150" s="5" t="s">
        <v>53</v>
      </c>
      <c r="I150" s="5" t="s">
        <v>47</v>
      </c>
      <c r="J150" s="5" t="s">
        <v>60</v>
      </c>
      <c r="K150" s="6" t="n">
        <v>456.33</v>
      </c>
      <c r="L150" s="5" t="n">
        <v>6</v>
      </c>
      <c r="M150" s="7" t="n">
        <v>0</v>
      </c>
      <c r="N150" s="6" t="n">
        <v>48.35</v>
      </c>
    </row>
    <row r="151" customFormat="false" ht="15" hidden="false" customHeight="false" outlineLevel="0" collapsed="false">
      <c r="A151" s="5" t="s">
        <v>245</v>
      </c>
      <c r="B151" s="5" t="s">
        <v>83</v>
      </c>
      <c r="C151" s="5" t="s">
        <v>69</v>
      </c>
      <c r="D151" s="5" t="s">
        <v>43</v>
      </c>
      <c r="E151" s="5" t="s">
        <v>79</v>
      </c>
      <c r="F151" s="5" t="s">
        <v>80</v>
      </c>
      <c r="G151" s="5" t="n">
        <v>2127</v>
      </c>
      <c r="H151" s="5" t="s">
        <v>46</v>
      </c>
      <c r="I151" s="5" t="s">
        <v>47</v>
      </c>
      <c r="J151" s="5" t="s">
        <v>48</v>
      </c>
      <c r="K151" s="6" t="n">
        <v>566.33</v>
      </c>
      <c r="L151" s="5" t="n">
        <v>6</v>
      </c>
      <c r="M151" s="7" t="n">
        <v>0</v>
      </c>
      <c r="N151" s="6" t="n">
        <v>45.79</v>
      </c>
    </row>
    <row r="152" customFormat="false" ht="15" hidden="false" customHeight="false" outlineLevel="0" collapsed="false">
      <c r="A152" s="5" t="s">
        <v>246</v>
      </c>
      <c r="B152" s="5" t="s">
        <v>57</v>
      </c>
      <c r="C152" s="5" t="s">
        <v>50</v>
      </c>
      <c r="D152" s="5" t="s">
        <v>43</v>
      </c>
      <c r="E152" s="5" t="s">
        <v>176</v>
      </c>
      <c r="F152" s="5" t="s">
        <v>177</v>
      </c>
      <c r="G152" s="5" t="n">
        <v>55407</v>
      </c>
      <c r="H152" s="5" t="s">
        <v>64</v>
      </c>
      <c r="I152" s="5" t="s">
        <v>54</v>
      </c>
      <c r="J152" s="5" t="s">
        <v>55</v>
      </c>
      <c r="K152" s="6" t="n">
        <v>116.91</v>
      </c>
      <c r="L152" s="5" t="n">
        <v>8</v>
      </c>
      <c r="M152" s="7" t="n">
        <v>0.2</v>
      </c>
      <c r="N152" s="6" t="n">
        <v>28.91</v>
      </c>
    </row>
    <row r="153" customFormat="false" ht="15" hidden="false" customHeight="false" outlineLevel="0" collapsed="false">
      <c r="A153" s="5" t="s">
        <v>247</v>
      </c>
      <c r="B153" s="5" t="s">
        <v>57</v>
      </c>
      <c r="C153" s="5" t="s">
        <v>42</v>
      </c>
      <c r="D153" s="5" t="s">
        <v>43</v>
      </c>
      <c r="E153" s="5" t="s">
        <v>100</v>
      </c>
      <c r="F153" s="5" t="s">
        <v>101</v>
      </c>
      <c r="G153" s="5" t="n">
        <v>19140</v>
      </c>
      <c r="H153" s="5" t="s">
        <v>46</v>
      </c>
      <c r="I153" s="5" t="s">
        <v>65</v>
      </c>
      <c r="J153" s="5" t="s">
        <v>124</v>
      </c>
      <c r="K153" s="6" t="n">
        <v>129.47</v>
      </c>
      <c r="L153" s="5" t="n">
        <v>4</v>
      </c>
      <c r="M153" s="7" t="n">
        <v>0</v>
      </c>
      <c r="N153" s="6" t="n">
        <v>35.05</v>
      </c>
    </row>
    <row r="154" customFormat="false" ht="15" hidden="false" customHeight="false" outlineLevel="0" collapsed="false">
      <c r="A154" s="5" t="s">
        <v>248</v>
      </c>
      <c r="B154" s="5" t="s">
        <v>41</v>
      </c>
      <c r="C154" s="5" t="s">
        <v>69</v>
      </c>
      <c r="D154" s="5" t="s">
        <v>43</v>
      </c>
      <c r="E154" s="5" t="s">
        <v>114</v>
      </c>
      <c r="F154" s="5" t="s">
        <v>115</v>
      </c>
      <c r="G154" s="5" t="n">
        <v>90036</v>
      </c>
      <c r="H154" s="5" t="s">
        <v>72</v>
      </c>
      <c r="I154" s="5" t="s">
        <v>54</v>
      </c>
      <c r="J154" s="5" t="s">
        <v>93</v>
      </c>
      <c r="K154" s="6" t="n">
        <v>165.2</v>
      </c>
      <c r="L154" s="5" t="n">
        <v>1</v>
      </c>
      <c r="M154" s="7" t="n">
        <v>0</v>
      </c>
      <c r="N154" s="6" t="n">
        <v>71.35</v>
      </c>
    </row>
    <row r="155" customFormat="false" ht="15" hidden="false" customHeight="false" outlineLevel="0" collapsed="false">
      <c r="A155" s="5" t="s">
        <v>249</v>
      </c>
      <c r="B155" s="5" t="s">
        <v>57</v>
      </c>
      <c r="C155" s="5" t="s">
        <v>50</v>
      </c>
      <c r="D155" s="5" t="s">
        <v>43</v>
      </c>
      <c r="E155" s="5" t="s">
        <v>107</v>
      </c>
      <c r="F155" s="5" t="s">
        <v>108</v>
      </c>
      <c r="G155" s="5" t="n">
        <v>7102</v>
      </c>
      <c r="H155" s="5" t="s">
        <v>46</v>
      </c>
      <c r="I155" s="5" t="s">
        <v>65</v>
      </c>
      <c r="J155" s="5" t="s">
        <v>124</v>
      </c>
      <c r="K155" s="6" t="n">
        <v>90.75</v>
      </c>
      <c r="L155" s="5" t="n">
        <v>4</v>
      </c>
      <c r="M155" s="7" t="n">
        <v>0</v>
      </c>
      <c r="N155" s="6" t="n">
        <v>29.86</v>
      </c>
    </row>
    <row r="156" customFormat="false" ht="15" hidden="false" customHeight="false" outlineLevel="0" collapsed="false">
      <c r="A156" s="5" t="s">
        <v>250</v>
      </c>
      <c r="B156" s="5" t="s">
        <v>68</v>
      </c>
      <c r="C156" s="5" t="s">
        <v>42</v>
      </c>
      <c r="D156" s="5" t="s">
        <v>43</v>
      </c>
      <c r="E156" s="5" t="s">
        <v>176</v>
      </c>
      <c r="F156" s="5" t="s">
        <v>177</v>
      </c>
      <c r="G156" s="5" t="n">
        <v>55407</v>
      </c>
      <c r="H156" s="5" t="s">
        <v>64</v>
      </c>
      <c r="I156" s="5" t="s">
        <v>65</v>
      </c>
      <c r="J156" s="5" t="s">
        <v>66</v>
      </c>
      <c r="K156" s="6" t="n">
        <v>13.05</v>
      </c>
      <c r="L156" s="5" t="n">
        <v>9</v>
      </c>
      <c r="M156" s="7" t="n">
        <v>0.2</v>
      </c>
      <c r="N156" s="6" t="n">
        <v>3.1</v>
      </c>
    </row>
    <row r="157" customFormat="false" ht="15" hidden="false" customHeight="false" outlineLevel="0" collapsed="false">
      <c r="A157" s="5" t="s">
        <v>251</v>
      </c>
      <c r="B157" s="5" t="s">
        <v>57</v>
      </c>
      <c r="C157" s="5" t="s">
        <v>69</v>
      </c>
      <c r="D157" s="5" t="s">
        <v>43</v>
      </c>
      <c r="E157" s="5" t="s">
        <v>51</v>
      </c>
      <c r="F157" s="5" t="s">
        <v>52</v>
      </c>
      <c r="G157" s="5" t="n">
        <v>37211</v>
      </c>
      <c r="H157" s="5" t="s">
        <v>53</v>
      </c>
      <c r="I157" s="5" t="s">
        <v>47</v>
      </c>
      <c r="J157" s="5" t="s">
        <v>48</v>
      </c>
      <c r="K157" s="6" t="n">
        <v>156.88</v>
      </c>
      <c r="L157" s="5" t="n">
        <v>1</v>
      </c>
      <c r="M157" s="7" t="n">
        <v>0.4</v>
      </c>
      <c r="N157" s="6" t="n">
        <v>-18.8</v>
      </c>
    </row>
    <row r="158" customFormat="false" ht="15" hidden="false" customHeight="false" outlineLevel="0" collapsed="false">
      <c r="A158" s="5" t="s">
        <v>252</v>
      </c>
      <c r="B158" s="5" t="s">
        <v>57</v>
      </c>
      <c r="C158" s="5" t="s">
        <v>69</v>
      </c>
      <c r="D158" s="5" t="s">
        <v>43</v>
      </c>
      <c r="E158" s="5" t="s">
        <v>75</v>
      </c>
      <c r="F158" s="5" t="s">
        <v>76</v>
      </c>
      <c r="G158" s="5" t="n">
        <v>60610</v>
      </c>
      <c r="H158" s="5" t="s">
        <v>64</v>
      </c>
      <c r="I158" s="5" t="s">
        <v>65</v>
      </c>
      <c r="J158" s="5" t="s">
        <v>120</v>
      </c>
      <c r="K158" s="6" t="n">
        <v>42.84</v>
      </c>
      <c r="L158" s="5" t="n">
        <v>3</v>
      </c>
      <c r="M158" s="7" t="n">
        <v>0.4</v>
      </c>
      <c r="N158" s="6" t="n">
        <v>3.07</v>
      </c>
    </row>
    <row r="159" customFormat="false" ht="15" hidden="false" customHeight="false" outlineLevel="0" collapsed="false">
      <c r="A159" s="5" t="s">
        <v>253</v>
      </c>
      <c r="B159" s="5" t="s">
        <v>41</v>
      </c>
      <c r="C159" s="5" t="s">
        <v>69</v>
      </c>
      <c r="D159" s="5" t="s">
        <v>43</v>
      </c>
      <c r="E159" s="5" t="s">
        <v>91</v>
      </c>
      <c r="F159" s="5" t="s">
        <v>92</v>
      </c>
      <c r="G159" s="5" t="n">
        <v>33311</v>
      </c>
      <c r="H159" s="5" t="s">
        <v>53</v>
      </c>
      <c r="I159" s="5" t="s">
        <v>47</v>
      </c>
      <c r="J159" s="5" t="s">
        <v>60</v>
      </c>
      <c r="K159" s="6" t="n">
        <v>200.22</v>
      </c>
      <c r="L159" s="5" t="n">
        <v>2</v>
      </c>
      <c r="M159" s="7" t="n">
        <v>0.3</v>
      </c>
      <c r="N159" s="6" t="n">
        <v>-0.38</v>
      </c>
    </row>
    <row r="160" customFormat="false" ht="15" hidden="false" customHeight="false" outlineLevel="0" collapsed="false">
      <c r="A160" s="5" t="s">
        <v>215</v>
      </c>
      <c r="B160" s="5" t="s">
        <v>57</v>
      </c>
      <c r="C160" s="5" t="s">
        <v>69</v>
      </c>
      <c r="D160" s="5" t="s">
        <v>43</v>
      </c>
      <c r="E160" s="5" t="s">
        <v>176</v>
      </c>
      <c r="F160" s="5" t="s">
        <v>177</v>
      </c>
      <c r="G160" s="5" t="n">
        <v>55407</v>
      </c>
      <c r="H160" s="5" t="s">
        <v>64</v>
      </c>
      <c r="I160" s="5" t="s">
        <v>54</v>
      </c>
      <c r="J160" s="5" t="s">
        <v>93</v>
      </c>
      <c r="K160" s="6" t="n">
        <v>144.85</v>
      </c>
      <c r="L160" s="5" t="n">
        <v>7</v>
      </c>
      <c r="M160" s="7" t="n">
        <v>0</v>
      </c>
      <c r="N160" s="6" t="n">
        <v>65.24</v>
      </c>
    </row>
    <row r="161" customFormat="false" ht="15" hidden="false" customHeight="false" outlineLevel="0" collapsed="false">
      <c r="A161" s="5" t="s">
        <v>254</v>
      </c>
      <c r="B161" s="5" t="s">
        <v>57</v>
      </c>
      <c r="C161" s="5" t="s">
        <v>69</v>
      </c>
      <c r="D161" s="5" t="s">
        <v>43</v>
      </c>
      <c r="E161" s="5" t="s">
        <v>91</v>
      </c>
      <c r="F161" s="5" t="s">
        <v>92</v>
      </c>
      <c r="G161" s="5" t="n">
        <v>33311</v>
      </c>
      <c r="H161" s="5" t="s">
        <v>53</v>
      </c>
      <c r="I161" s="5" t="s">
        <v>47</v>
      </c>
      <c r="J161" s="5" t="s">
        <v>60</v>
      </c>
      <c r="K161" s="6" t="n">
        <v>81.28</v>
      </c>
      <c r="L161" s="5" t="n">
        <v>4</v>
      </c>
      <c r="M161" s="7" t="n">
        <v>0.4</v>
      </c>
      <c r="N161" s="6" t="n">
        <v>-8.02</v>
      </c>
    </row>
    <row r="162" customFormat="false" ht="15" hidden="false" customHeight="false" outlineLevel="0" collapsed="false">
      <c r="A162" s="5" t="s">
        <v>255</v>
      </c>
      <c r="B162" s="5" t="s">
        <v>57</v>
      </c>
      <c r="C162" s="5" t="s">
        <v>50</v>
      </c>
      <c r="D162" s="5" t="s">
        <v>43</v>
      </c>
      <c r="E162" s="5" t="s">
        <v>44</v>
      </c>
      <c r="F162" s="5" t="s">
        <v>45</v>
      </c>
      <c r="G162" s="5" t="n">
        <v>10011</v>
      </c>
      <c r="H162" s="5" t="s">
        <v>46</v>
      </c>
      <c r="I162" s="5" t="s">
        <v>54</v>
      </c>
      <c r="J162" s="5" t="s">
        <v>93</v>
      </c>
      <c r="K162" s="6" t="n">
        <v>348.71</v>
      </c>
      <c r="L162" s="5" t="n">
        <v>2</v>
      </c>
      <c r="M162" s="7" t="n">
        <v>0.1</v>
      </c>
      <c r="N162" s="6" t="n">
        <v>156.78</v>
      </c>
    </row>
    <row r="163" customFormat="false" ht="15" hidden="false" customHeight="false" outlineLevel="0" collapsed="false">
      <c r="A163" s="5" t="s">
        <v>256</v>
      </c>
      <c r="B163" s="5" t="s">
        <v>41</v>
      </c>
      <c r="C163" s="5" t="s">
        <v>50</v>
      </c>
      <c r="D163" s="5" t="s">
        <v>43</v>
      </c>
      <c r="E163" s="5" t="s">
        <v>112</v>
      </c>
      <c r="F163" s="5" t="s">
        <v>63</v>
      </c>
      <c r="G163" s="5" t="n">
        <v>75217</v>
      </c>
      <c r="H163" s="5" t="s">
        <v>64</v>
      </c>
      <c r="I163" s="5" t="s">
        <v>54</v>
      </c>
      <c r="J163" s="5" t="s">
        <v>93</v>
      </c>
      <c r="K163" s="6" t="n">
        <v>660.15</v>
      </c>
      <c r="L163" s="5" t="n">
        <v>9</v>
      </c>
      <c r="M163" s="7" t="n">
        <v>0.2</v>
      </c>
      <c r="N163" s="6" t="n">
        <v>-158.49</v>
      </c>
    </row>
    <row r="164" customFormat="false" ht="15" hidden="false" customHeight="false" outlineLevel="0" collapsed="false">
      <c r="A164" s="5" t="s">
        <v>257</v>
      </c>
      <c r="B164" s="5" t="s">
        <v>41</v>
      </c>
      <c r="C164" s="5" t="s">
        <v>50</v>
      </c>
      <c r="D164" s="5" t="s">
        <v>43</v>
      </c>
      <c r="E164" s="5" t="s">
        <v>118</v>
      </c>
      <c r="F164" s="5" t="s">
        <v>119</v>
      </c>
      <c r="G164" s="5" t="n">
        <v>98103</v>
      </c>
      <c r="H164" s="5" t="s">
        <v>72</v>
      </c>
      <c r="I164" s="5" t="s">
        <v>54</v>
      </c>
      <c r="J164" s="5" t="s">
        <v>77</v>
      </c>
      <c r="K164" s="6" t="n">
        <v>29.98</v>
      </c>
      <c r="L164" s="5" t="n">
        <v>8</v>
      </c>
      <c r="M164" s="7" t="n">
        <v>0.1</v>
      </c>
      <c r="N164" s="6" t="n">
        <v>13.76</v>
      </c>
    </row>
    <row r="165" customFormat="false" ht="15" hidden="false" customHeight="false" outlineLevel="0" collapsed="false">
      <c r="A165" s="5" t="s">
        <v>191</v>
      </c>
      <c r="B165" s="5" t="s">
        <v>68</v>
      </c>
      <c r="C165" s="5" t="s">
        <v>69</v>
      </c>
      <c r="D165" s="5" t="s">
        <v>43</v>
      </c>
      <c r="E165" s="5" t="s">
        <v>112</v>
      </c>
      <c r="F165" s="5" t="s">
        <v>63</v>
      </c>
      <c r="G165" s="5" t="n">
        <v>75217</v>
      </c>
      <c r="H165" s="5" t="s">
        <v>64</v>
      </c>
      <c r="I165" s="5" t="s">
        <v>65</v>
      </c>
      <c r="J165" s="5" t="s">
        <v>109</v>
      </c>
      <c r="K165" s="6" t="n">
        <v>33.2</v>
      </c>
      <c r="L165" s="5" t="n">
        <v>7</v>
      </c>
      <c r="M165" s="7" t="n">
        <v>0</v>
      </c>
      <c r="N165" s="6" t="n">
        <v>-7.27</v>
      </c>
    </row>
    <row r="166" customFormat="false" ht="15" hidden="false" customHeight="false" outlineLevel="0" collapsed="false">
      <c r="A166" s="5" t="s">
        <v>258</v>
      </c>
      <c r="B166" s="5" t="s">
        <v>41</v>
      </c>
      <c r="C166" s="5" t="s">
        <v>42</v>
      </c>
      <c r="D166" s="5" t="s">
        <v>43</v>
      </c>
      <c r="E166" s="5" t="s">
        <v>62</v>
      </c>
      <c r="F166" s="5" t="s">
        <v>63</v>
      </c>
      <c r="G166" s="5" t="n">
        <v>77095</v>
      </c>
      <c r="H166" s="5" t="s">
        <v>64</v>
      </c>
      <c r="I166" s="5" t="s">
        <v>54</v>
      </c>
      <c r="J166" s="5" t="s">
        <v>77</v>
      </c>
      <c r="K166" s="6" t="n">
        <v>35.29</v>
      </c>
      <c r="L166" s="5" t="n">
        <v>6</v>
      </c>
      <c r="M166" s="7" t="n">
        <v>0.2</v>
      </c>
      <c r="N166" s="6" t="n">
        <v>11.61</v>
      </c>
    </row>
    <row r="167" customFormat="false" ht="15" hidden="false" customHeight="false" outlineLevel="0" collapsed="false">
      <c r="A167" s="5" t="s">
        <v>259</v>
      </c>
      <c r="B167" s="5" t="s">
        <v>68</v>
      </c>
      <c r="C167" s="5" t="s">
        <v>69</v>
      </c>
      <c r="D167" s="5" t="s">
        <v>43</v>
      </c>
      <c r="E167" s="5" t="s">
        <v>75</v>
      </c>
      <c r="F167" s="5" t="s">
        <v>76</v>
      </c>
      <c r="G167" s="5" t="n">
        <v>60610</v>
      </c>
      <c r="H167" s="5" t="s">
        <v>64</v>
      </c>
      <c r="I167" s="5" t="s">
        <v>54</v>
      </c>
      <c r="J167" s="5" t="s">
        <v>73</v>
      </c>
      <c r="K167" s="6" t="n">
        <v>42.1</v>
      </c>
      <c r="L167" s="5" t="n">
        <v>1</v>
      </c>
      <c r="M167" s="7" t="n">
        <v>0.1</v>
      </c>
      <c r="N167" s="6" t="n">
        <v>11.81</v>
      </c>
    </row>
    <row r="168" customFormat="false" ht="15" hidden="false" customHeight="false" outlineLevel="0" collapsed="false">
      <c r="A168" s="5" t="s">
        <v>260</v>
      </c>
      <c r="B168" s="5" t="s">
        <v>41</v>
      </c>
      <c r="C168" s="5" t="s">
        <v>69</v>
      </c>
      <c r="D168" s="5" t="s">
        <v>43</v>
      </c>
      <c r="E168" s="5" t="s">
        <v>95</v>
      </c>
      <c r="F168" s="5" t="s">
        <v>96</v>
      </c>
      <c r="G168" s="5" t="n">
        <v>97206</v>
      </c>
      <c r="H168" s="5" t="s">
        <v>72</v>
      </c>
      <c r="I168" s="5" t="s">
        <v>65</v>
      </c>
      <c r="J168" s="5" t="s">
        <v>88</v>
      </c>
      <c r="K168" s="6" t="n">
        <v>119.98</v>
      </c>
      <c r="L168" s="5" t="n">
        <v>6</v>
      </c>
      <c r="M168" s="7" t="n">
        <v>0.3</v>
      </c>
      <c r="N168" s="6" t="n">
        <v>15.68</v>
      </c>
    </row>
    <row r="169" customFormat="false" ht="15" hidden="false" customHeight="false" outlineLevel="0" collapsed="false">
      <c r="A169" s="5" t="s">
        <v>261</v>
      </c>
      <c r="B169" s="5" t="s">
        <v>68</v>
      </c>
      <c r="C169" s="5" t="s">
        <v>69</v>
      </c>
      <c r="D169" s="5" t="s">
        <v>43</v>
      </c>
      <c r="E169" s="5" t="s">
        <v>112</v>
      </c>
      <c r="F169" s="5" t="s">
        <v>63</v>
      </c>
      <c r="G169" s="5" t="n">
        <v>75217</v>
      </c>
      <c r="H169" s="5" t="s">
        <v>64</v>
      </c>
      <c r="I169" s="5" t="s">
        <v>47</v>
      </c>
      <c r="J169" s="5" t="s">
        <v>84</v>
      </c>
      <c r="K169" s="6" t="n">
        <v>78.26</v>
      </c>
      <c r="L169" s="5" t="n">
        <v>3</v>
      </c>
      <c r="M169" s="7" t="n">
        <v>0.1</v>
      </c>
      <c r="N169" s="6" t="n">
        <v>-6.92</v>
      </c>
    </row>
    <row r="170" customFormat="false" ht="15" hidden="false" customHeight="false" outlineLevel="0" collapsed="false">
      <c r="A170" s="5" t="s">
        <v>262</v>
      </c>
      <c r="B170" s="5" t="s">
        <v>83</v>
      </c>
      <c r="C170" s="5" t="s">
        <v>50</v>
      </c>
      <c r="D170" s="5" t="s">
        <v>43</v>
      </c>
      <c r="E170" s="5" t="s">
        <v>95</v>
      </c>
      <c r="F170" s="5" t="s">
        <v>96</v>
      </c>
      <c r="G170" s="5" t="n">
        <v>97206</v>
      </c>
      <c r="H170" s="5" t="s">
        <v>72</v>
      </c>
      <c r="I170" s="5" t="s">
        <v>65</v>
      </c>
      <c r="J170" s="5" t="s">
        <v>122</v>
      </c>
      <c r="K170" s="6" t="n">
        <v>6.51</v>
      </c>
      <c r="L170" s="5" t="n">
        <v>8</v>
      </c>
      <c r="M170" s="7" t="n">
        <v>0</v>
      </c>
      <c r="N170" s="6" t="n">
        <v>2.73</v>
      </c>
    </row>
    <row r="171" customFormat="false" ht="15" hidden="false" customHeight="false" outlineLevel="0" collapsed="false">
      <c r="A171" s="5" t="s">
        <v>263</v>
      </c>
      <c r="B171" s="5" t="s">
        <v>83</v>
      </c>
      <c r="C171" s="5" t="s">
        <v>42</v>
      </c>
      <c r="D171" s="5" t="s">
        <v>43</v>
      </c>
      <c r="E171" s="5" t="s">
        <v>114</v>
      </c>
      <c r="F171" s="5" t="s">
        <v>115</v>
      </c>
      <c r="G171" s="5" t="n">
        <v>90036</v>
      </c>
      <c r="H171" s="5" t="s">
        <v>72</v>
      </c>
      <c r="I171" s="5" t="s">
        <v>47</v>
      </c>
      <c r="J171" s="5" t="s">
        <v>48</v>
      </c>
      <c r="K171" s="6" t="n">
        <v>306.46</v>
      </c>
      <c r="L171" s="5" t="n">
        <v>6</v>
      </c>
      <c r="M171" s="7" t="n">
        <v>0.3</v>
      </c>
      <c r="N171" s="6" t="n">
        <v>-6.08</v>
      </c>
    </row>
    <row r="172" customFormat="false" ht="15" hidden="false" customHeight="false" outlineLevel="0" collapsed="false">
      <c r="A172" s="5" t="s">
        <v>264</v>
      </c>
      <c r="B172" s="5" t="s">
        <v>83</v>
      </c>
      <c r="C172" s="5" t="s">
        <v>50</v>
      </c>
      <c r="D172" s="5" t="s">
        <v>43</v>
      </c>
      <c r="E172" s="5" t="s">
        <v>176</v>
      </c>
      <c r="F172" s="5" t="s">
        <v>177</v>
      </c>
      <c r="G172" s="5" t="n">
        <v>55407</v>
      </c>
      <c r="H172" s="5" t="s">
        <v>64</v>
      </c>
      <c r="I172" s="5" t="s">
        <v>47</v>
      </c>
      <c r="J172" s="5" t="s">
        <v>60</v>
      </c>
      <c r="K172" s="6" t="n">
        <v>102.09</v>
      </c>
      <c r="L172" s="5" t="n">
        <v>1</v>
      </c>
      <c r="M172" s="7" t="n">
        <v>0.1</v>
      </c>
      <c r="N172" s="6" t="n">
        <v>12.86</v>
      </c>
    </row>
    <row r="173" customFormat="false" ht="15" hidden="false" customHeight="false" outlineLevel="0" collapsed="false">
      <c r="A173" s="5" t="s">
        <v>265</v>
      </c>
      <c r="B173" s="5" t="s">
        <v>68</v>
      </c>
      <c r="C173" s="5" t="s">
        <v>50</v>
      </c>
      <c r="D173" s="5" t="s">
        <v>43</v>
      </c>
      <c r="E173" s="5" t="s">
        <v>70</v>
      </c>
      <c r="F173" s="5" t="s">
        <v>71</v>
      </c>
      <c r="G173" s="5" t="n">
        <v>80219</v>
      </c>
      <c r="H173" s="5" t="s">
        <v>72</v>
      </c>
      <c r="I173" s="5" t="s">
        <v>65</v>
      </c>
      <c r="J173" s="5" t="s">
        <v>109</v>
      </c>
      <c r="K173" s="6" t="n">
        <v>61.14</v>
      </c>
      <c r="L173" s="5" t="n">
        <v>2</v>
      </c>
      <c r="M173" s="7" t="n">
        <v>0.1</v>
      </c>
      <c r="N173" s="6" t="n">
        <v>17.17</v>
      </c>
    </row>
    <row r="174" customFormat="false" ht="15" hidden="false" customHeight="false" outlineLevel="0" collapsed="false">
      <c r="A174" s="5" t="s">
        <v>266</v>
      </c>
      <c r="B174" s="5" t="s">
        <v>68</v>
      </c>
      <c r="C174" s="5" t="s">
        <v>42</v>
      </c>
      <c r="D174" s="5" t="s">
        <v>43</v>
      </c>
      <c r="E174" s="5" t="s">
        <v>118</v>
      </c>
      <c r="F174" s="5" t="s">
        <v>119</v>
      </c>
      <c r="G174" s="5" t="n">
        <v>98103</v>
      </c>
      <c r="H174" s="5" t="s">
        <v>72</v>
      </c>
      <c r="I174" s="5" t="s">
        <v>65</v>
      </c>
      <c r="J174" s="5" t="s">
        <v>138</v>
      </c>
      <c r="K174" s="6" t="n">
        <v>88.57</v>
      </c>
      <c r="L174" s="5" t="n">
        <v>3</v>
      </c>
      <c r="M174" s="7" t="n">
        <v>0.5</v>
      </c>
      <c r="N174" s="6" t="n">
        <v>-4.25</v>
      </c>
    </row>
    <row r="175" customFormat="false" ht="15" hidden="false" customHeight="false" outlineLevel="0" collapsed="false">
      <c r="A175" s="5" t="s">
        <v>267</v>
      </c>
      <c r="B175" s="5" t="s">
        <v>41</v>
      </c>
      <c r="C175" s="5" t="s">
        <v>50</v>
      </c>
      <c r="D175" s="5" t="s">
        <v>43</v>
      </c>
      <c r="E175" s="5" t="s">
        <v>62</v>
      </c>
      <c r="F175" s="5" t="s">
        <v>63</v>
      </c>
      <c r="G175" s="5" t="n">
        <v>77095</v>
      </c>
      <c r="H175" s="5" t="s">
        <v>64</v>
      </c>
      <c r="I175" s="5" t="s">
        <v>54</v>
      </c>
      <c r="J175" s="5" t="s">
        <v>77</v>
      </c>
      <c r="K175" s="6" t="n">
        <v>158.69</v>
      </c>
      <c r="L175" s="5" t="n">
        <v>3</v>
      </c>
      <c r="M175" s="7" t="n">
        <v>0.2</v>
      </c>
      <c r="N175" s="6" t="n">
        <v>55.64</v>
      </c>
    </row>
    <row r="176" customFormat="false" ht="15" hidden="false" customHeight="false" outlineLevel="0" collapsed="false">
      <c r="A176" s="5" t="s">
        <v>143</v>
      </c>
      <c r="B176" s="5" t="s">
        <v>83</v>
      </c>
      <c r="C176" s="5" t="s">
        <v>50</v>
      </c>
      <c r="D176" s="5" t="s">
        <v>43</v>
      </c>
      <c r="E176" s="5" t="s">
        <v>62</v>
      </c>
      <c r="F176" s="5" t="s">
        <v>63</v>
      </c>
      <c r="G176" s="5" t="n">
        <v>77095</v>
      </c>
      <c r="H176" s="5" t="s">
        <v>64</v>
      </c>
      <c r="I176" s="5" t="s">
        <v>47</v>
      </c>
      <c r="J176" s="5" t="s">
        <v>86</v>
      </c>
      <c r="K176" s="6" t="n">
        <v>169.03</v>
      </c>
      <c r="L176" s="5" t="n">
        <v>6</v>
      </c>
      <c r="M176" s="7" t="n">
        <v>0.7</v>
      </c>
      <c r="N176" s="6" t="n">
        <v>-68.55</v>
      </c>
    </row>
    <row r="177" customFormat="false" ht="15" hidden="false" customHeight="false" outlineLevel="0" collapsed="false">
      <c r="A177" s="5" t="s">
        <v>174</v>
      </c>
      <c r="B177" s="5" t="s">
        <v>41</v>
      </c>
      <c r="C177" s="5" t="s">
        <v>50</v>
      </c>
      <c r="D177" s="5" t="s">
        <v>43</v>
      </c>
      <c r="E177" s="5" t="s">
        <v>104</v>
      </c>
      <c r="F177" s="5" t="s">
        <v>105</v>
      </c>
      <c r="G177" s="5" t="n">
        <v>28205</v>
      </c>
      <c r="H177" s="5" t="s">
        <v>53</v>
      </c>
      <c r="I177" s="5" t="s">
        <v>65</v>
      </c>
      <c r="J177" s="5" t="s">
        <v>120</v>
      </c>
      <c r="K177" s="6" t="n">
        <v>31.24</v>
      </c>
      <c r="L177" s="5" t="n">
        <v>4</v>
      </c>
      <c r="M177" s="7" t="n">
        <v>0</v>
      </c>
      <c r="N177" s="6" t="n">
        <v>9.48</v>
      </c>
    </row>
    <row r="178" customFormat="false" ht="15" hidden="false" customHeight="false" outlineLevel="0" collapsed="false">
      <c r="A178" s="5" t="s">
        <v>268</v>
      </c>
      <c r="B178" s="5" t="s">
        <v>57</v>
      </c>
      <c r="C178" s="5" t="s">
        <v>42</v>
      </c>
      <c r="D178" s="5" t="s">
        <v>43</v>
      </c>
      <c r="E178" s="5" t="s">
        <v>114</v>
      </c>
      <c r="F178" s="5" t="s">
        <v>115</v>
      </c>
      <c r="G178" s="5" t="n">
        <v>90036</v>
      </c>
      <c r="H178" s="5" t="s">
        <v>72</v>
      </c>
      <c r="I178" s="5" t="s">
        <v>54</v>
      </c>
      <c r="J178" s="5" t="s">
        <v>77</v>
      </c>
      <c r="K178" s="6" t="n">
        <v>138.2</v>
      </c>
      <c r="L178" s="5" t="n">
        <v>7</v>
      </c>
      <c r="M178" s="7" t="n">
        <v>0</v>
      </c>
      <c r="N178" s="6" t="n">
        <v>68.38</v>
      </c>
    </row>
    <row r="179" customFormat="false" ht="15" hidden="false" customHeight="false" outlineLevel="0" collapsed="false">
      <c r="A179" s="5" t="s">
        <v>238</v>
      </c>
      <c r="B179" s="5" t="s">
        <v>41</v>
      </c>
      <c r="C179" s="5" t="s">
        <v>42</v>
      </c>
      <c r="D179" s="5" t="s">
        <v>43</v>
      </c>
      <c r="E179" s="5" t="s">
        <v>95</v>
      </c>
      <c r="F179" s="5" t="s">
        <v>96</v>
      </c>
      <c r="G179" s="5" t="n">
        <v>97206</v>
      </c>
      <c r="H179" s="5" t="s">
        <v>72</v>
      </c>
      <c r="I179" s="5" t="s">
        <v>47</v>
      </c>
      <c r="J179" s="5" t="s">
        <v>48</v>
      </c>
      <c r="K179" s="6" t="n">
        <v>78.43</v>
      </c>
      <c r="L179" s="5" t="n">
        <v>5</v>
      </c>
      <c r="M179" s="7" t="n">
        <v>0.3</v>
      </c>
      <c r="N179" s="6" t="n">
        <v>1.98</v>
      </c>
    </row>
    <row r="180" customFormat="false" ht="15" hidden="false" customHeight="false" outlineLevel="0" collapsed="false">
      <c r="A180" s="5" t="s">
        <v>269</v>
      </c>
      <c r="B180" s="5" t="s">
        <v>57</v>
      </c>
      <c r="C180" s="5" t="s">
        <v>42</v>
      </c>
      <c r="D180" s="5" t="s">
        <v>43</v>
      </c>
      <c r="E180" s="5" t="s">
        <v>104</v>
      </c>
      <c r="F180" s="5" t="s">
        <v>105</v>
      </c>
      <c r="G180" s="5" t="n">
        <v>28205</v>
      </c>
      <c r="H180" s="5" t="s">
        <v>53</v>
      </c>
      <c r="I180" s="5" t="s">
        <v>47</v>
      </c>
      <c r="J180" s="5" t="s">
        <v>48</v>
      </c>
      <c r="K180" s="6" t="n">
        <v>487.33</v>
      </c>
      <c r="L180" s="5" t="n">
        <v>8</v>
      </c>
      <c r="M180" s="7" t="n">
        <v>0</v>
      </c>
      <c r="N180" s="6" t="n">
        <v>63.01</v>
      </c>
    </row>
    <row r="181" customFormat="false" ht="15" hidden="false" customHeight="false" outlineLevel="0" collapsed="false">
      <c r="A181" s="5" t="s">
        <v>270</v>
      </c>
      <c r="B181" s="5" t="s">
        <v>83</v>
      </c>
      <c r="C181" s="5" t="s">
        <v>69</v>
      </c>
      <c r="D181" s="5" t="s">
        <v>43</v>
      </c>
      <c r="E181" s="5" t="s">
        <v>91</v>
      </c>
      <c r="F181" s="5" t="s">
        <v>92</v>
      </c>
      <c r="G181" s="5" t="n">
        <v>33311</v>
      </c>
      <c r="H181" s="5" t="s">
        <v>53</v>
      </c>
      <c r="I181" s="5" t="s">
        <v>54</v>
      </c>
      <c r="J181" s="5" t="s">
        <v>73</v>
      </c>
      <c r="K181" s="6" t="n">
        <v>152.08</v>
      </c>
      <c r="L181" s="5" t="n">
        <v>6</v>
      </c>
      <c r="M181" s="7" t="n">
        <v>0.7</v>
      </c>
      <c r="N181" s="6" t="n">
        <v>2.97</v>
      </c>
    </row>
    <row r="182" customFormat="false" ht="15" hidden="false" customHeight="false" outlineLevel="0" collapsed="false">
      <c r="A182" s="5" t="s">
        <v>271</v>
      </c>
      <c r="B182" s="5" t="s">
        <v>68</v>
      </c>
      <c r="C182" s="5" t="s">
        <v>50</v>
      </c>
      <c r="D182" s="5" t="s">
        <v>43</v>
      </c>
      <c r="E182" s="5" t="s">
        <v>176</v>
      </c>
      <c r="F182" s="5" t="s">
        <v>177</v>
      </c>
      <c r="G182" s="5" t="n">
        <v>55407</v>
      </c>
      <c r="H182" s="5" t="s">
        <v>64</v>
      </c>
      <c r="I182" s="5" t="s">
        <v>47</v>
      </c>
      <c r="J182" s="5" t="s">
        <v>60</v>
      </c>
      <c r="K182" s="6" t="n">
        <v>137.61</v>
      </c>
      <c r="L182" s="5" t="n">
        <v>7</v>
      </c>
      <c r="M182" s="7" t="n">
        <v>0.5</v>
      </c>
      <c r="N182" s="6" t="n">
        <v>-12.68</v>
      </c>
    </row>
    <row r="183" customFormat="false" ht="15" hidden="false" customHeight="false" outlineLevel="0" collapsed="false">
      <c r="A183" s="5" t="s">
        <v>272</v>
      </c>
      <c r="B183" s="5" t="s">
        <v>57</v>
      </c>
      <c r="C183" s="5" t="s">
        <v>42</v>
      </c>
      <c r="D183" s="5" t="s">
        <v>43</v>
      </c>
      <c r="E183" s="5" t="s">
        <v>114</v>
      </c>
      <c r="F183" s="5" t="s">
        <v>115</v>
      </c>
      <c r="G183" s="5" t="n">
        <v>90036</v>
      </c>
      <c r="H183" s="5" t="s">
        <v>72</v>
      </c>
      <c r="I183" s="5" t="s">
        <v>47</v>
      </c>
      <c r="J183" s="5" t="s">
        <v>84</v>
      </c>
      <c r="K183" s="6" t="n">
        <v>164.81</v>
      </c>
      <c r="L183" s="5" t="n">
        <v>6</v>
      </c>
      <c r="M183" s="7" t="n">
        <v>0</v>
      </c>
      <c r="N183" s="6" t="n">
        <v>43.48</v>
      </c>
    </row>
    <row r="184" customFormat="false" ht="15" hidden="false" customHeight="false" outlineLevel="0" collapsed="false">
      <c r="A184" s="5" t="s">
        <v>273</v>
      </c>
      <c r="B184" s="5" t="s">
        <v>83</v>
      </c>
      <c r="C184" s="5" t="s">
        <v>50</v>
      </c>
      <c r="D184" s="5" t="s">
        <v>43</v>
      </c>
      <c r="E184" s="5" t="s">
        <v>70</v>
      </c>
      <c r="F184" s="5" t="s">
        <v>71</v>
      </c>
      <c r="G184" s="5" t="n">
        <v>80219</v>
      </c>
      <c r="H184" s="5" t="s">
        <v>72</v>
      </c>
      <c r="I184" s="5" t="s">
        <v>54</v>
      </c>
      <c r="J184" s="5" t="s">
        <v>73</v>
      </c>
      <c r="K184" s="6" t="n">
        <v>195.39</v>
      </c>
      <c r="L184" s="5" t="n">
        <v>3</v>
      </c>
      <c r="M184" s="7" t="n">
        <v>0.2</v>
      </c>
      <c r="N184" s="6" t="n">
        <v>56.95</v>
      </c>
    </row>
    <row r="185" customFormat="false" ht="15" hidden="false" customHeight="false" outlineLevel="0" collapsed="false">
      <c r="A185" s="5" t="s">
        <v>274</v>
      </c>
      <c r="B185" s="5" t="s">
        <v>83</v>
      </c>
      <c r="C185" s="5" t="s">
        <v>69</v>
      </c>
      <c r="D185" s="5" t="s">
        <v>43</v>
      </c>
      <c r="E185" s="5" t="s">
        <v>114</v>
      </c>
      <c r="F185" s="5" t="s">
        <v>115</v>
      </c>
      <c r="G185" s="5" t="n">
        <v>90036</v>
      </c>
      <c r="H185" s="5" t="s">
        <v>72</v>
      </c>
      <c r="I185" s="5" t="s">
        <v>47</v>
      </c>
      <c r="J185" s="5" t="s">
        <v>86</v>
      </c>
      <c r="K185" s="6" t="n">
        <v>168.27</v>
      </c>
      <c r="L185" s="5" t="n">
        <v>6</v>
      </c>
      <c r="M185" s="7" t="n">
        <v>0.1</v>
      </c>
      <c r="N185" s="6" t="n">
        <v>2.98</v>
      </c>
    </row>
    <row r="186" customFormat="false" ht="15" hidden="false" customHeight="false" outlineLevel="0" collapsed="false">
      <c r="A186" s="5" t="s">
        <v>275</v>
      </c>
      <c r="B186" s="5" t="s">
        <v>83</v>
      </c>
      <c r="C186" s="5" t="s">
        <v>69</v>
      </c>
      <c r="D186" s="5" t="s">
        <v>43</v>
      </c>
      <c r="E186" s="5" t="s">
        <v>118</v>
      </c>
      <c r="F186" s="5" t="s">
        <v>119</v>
      </c>
      <c r="G186" s="5" t="n">
        <v>98103</v>
      </c>
      <c r="H186" s="5" t="s">
        <v>72</v>
      </c>
      <c r="I186" s="5" t="s">
        <v>47</v>
      </c>
      <c r="J186" s="5" t="s">
        <v>84</v>
      </c>
      <c r="K186" s="6" t="n">
        <v>39.19</v>
      </c>
      <c r="L186" s="5" t="n">
        <v>2</v>
      </c>
      <c r="M186" s="7" t="n">
        <v>0.1</v>
      </c>
      <c r="N186" s="6" t="n">
        <v>-1.35</v>
      </c>
    </row>
    <row r="187" customFormat="false" ht="15" hidden="false" customHeight="false" outlineLevel="0" collapsed="false">
      <c r="A187" s="5" t="s">
        <v>276</v>
      </c>
      <c r="B187" s="5" t="s">
        <v>83</v>
      </c>
      <c r="C187" s="5" t="s">
        <v>69</v>
      </c>
      <c r="D187" s="5" t="s">
        <v>43</v>
      </c>
      <c r="E187" s="5" t="s">
        <v>51</v>
      </c>
      <c r="F187" s="5" t="s">
        <v>52</v>
      </c>
      <c r="G187" s="5" t="n">
        <v>37211</v>
      </c>
      <c r="H187" s="5" t="s">
        <v>53</v>
      </c>
      <c r="I187" s="5" t="s">
        <v>65</v>
      </c>
      <c r="J187" s="5" t="s">
        <v>138</v>
      </c>
      <c r="K187" s="6" t="n">
        <v>44.65</v>
      </c>
      <c r="L187" s="5" t="n">
        <v>6</v>
      </c>
      <c r="M187" s="7" t="n">
        <v>0.7</v>
      </c>
      <c r="N187" s="6" t="n">
        <v>-6.72</v>
      </c>
    </row>
    <row r="188" customFormat="false" ht="15" hidden="false" customHeight="false" outlineLevel="0" collapsed="false">
      <c r="A188" s="5" t="s">
        <v>277</v>
      </c>
      <c r="B188" s="5" t="s">
        <v>83</v>
      </c>
      <c r="C188" s="5" t="s">
        <v>42</v>
      </c>
      <c r="D188" s="5" t="s">
        <v>43</v>
      </c>
      <c r="E188" s="5" t="s">
        <v>79</v>
      </c>
      <c r="F188" s="5" t="s">
        <v>80</v>
      </c>
      <c r="G188" s="5" t="n">
        <v>2127</v>
      </c>
      <c r="H188" s="5" t="s">
        <v>46</v>
      </c>
      <c r="I188" s="5" t="s">
        <v>65</v>
      </c>
      <c r="J188" s="5" t="s">
        <v>133</v>
      </c>
      <c r="K188" s="6" t="n">
        <v>60.52</v>
      </c>
      <c r="L188" s="5" t="n">
        <v>1</v>
      </c>
      <c r="M188" s="7" t="n">
        <v>0.3</v>
      </c>
      <c r="N188" s="6" t="n">
        <v>14.76</v>
      </c>
    </row>
    <row r="189" customFormat="false" ht="15" hidden="false" customHeight="false" outlineLevel="0" collapsed="false">
      <c r="A189" s="5" t="s">
        <v>159</v>
      </c>
      <c r="B189" s="5" t="s">
        <v>83</v>
      </c>
      <c r="C189" s="5" t="s">
        <v>50</v>
      </c>
      <c r="D189" s="5" t="s">
        <v>43</v>
      </c>
      <c r="E189" s="5" t="s">
        <v>58</v>
      </c>
      <c r="F189" s="5" t="s">
        <v>59</v>
      </c>
      <c r="G189" s="5" t="n">
        <v>30318</v>
      </c>
      <c r="H189" s="5" t="s">
        <v>53</v>
      </c>
      <c r="I189" s="5" t="s">
        <v>54</v>
      </c>
      <c r="J189" s="5" t="s">
        <v>93</v>
      </c>
      <c r="K189" s="6" t="n">
        <v>127.83</v>
      </c>
      <c r="L189" s="5" t="n">
        <v>8</v>
      </c>
      <c r="M189" s="7" t="n">
        <v>0.7</v>
      </c>
      <c r="N189" s="6" t="n">
        <v>12.06</v>
      </c>
    </row>
    <row r="190" customFormat="false" ht="15" hidden="false" customHeight="false" outlineLevel="0" collapsed="false">
      <c r="A190" s="5" t="s">
        <v>278</v>
      </c>
      <c r="B190" s="5" t="s">
        <v>68</v>
      </c>
      <c r="C190" s="5" t="s">
        <v>69</v>
      </c>
      <c r="D190" s="5" t="s">
        <v>43</v>
      </c>
      <c r="E190" s="5" t="s">
        <v>95</v>
      </c>
      <c r="F190" s="5" t="s">
        <v>96</v>
      </c>
      <c r="G190" s="5" t="n">
        <v>97206</v>
      </c>
      <c r="H190" s="5" t="s">
        <v>72</v>
      </c>
      <c r="I190" s="5" t="s">
        <v>65</v>
      </c>
      <c r="J190" s="5" t="s">
        <v>88</v>
      </c>
      <c r="K190" s="6" t="n">
        <v>31.72</v>
      </c>
      <c r="L190" s="5" t="n">
        <v>3</v>
      </c>
      <c r="M190" s="7" t="n">
        <v>0.3</v>
      </c>
      <c r="N190" s="6" t="n">
        <v>1.11</v>
      </c>
    </row>
    <row r="191" customFormat="false" ht="15" hidden="false" customHeight="false" outlineLevel="0" collapsed="false">
      <c r="A191" s="5" t="s">
        <v>279</v>
      </c>
      <c r="B191" s="5" t="s">
        <v>57</v>
      </c>
      <c r="C191" s="5" t="s">
        <v>50</v>
      </c>
      <c r="D191" s="5" t="s">
        <v>43</v>
      </c>
      <c r="E191" s="5" t="s">
        <v>79</v>
      </c>
      <c r="F191" s="5" t="s">
        <v>80</v>
      </c>
      <c r="G191" s="5" t="n">
        <v>2127</v>
      </c>
      <c r="H191" s="5" t="s">
        <v>46</v>
      </c>
      <c r="I191" s="5" t="s">
        <v>47</v>
      </c>
      <c r="J191" s="5" t="s">
        <v>60</v>
      </c>
      <c r="K191" s="6" t="n">
        <v>266.15</v>
      </c>
      <c r="L191" s="5" t="n">
        <v>7</v>
      </c>
      <c r="M191" s="7" t="n">
        <v>0.2</v>
      </c>
      <c r="N191" s="6" t="n">
        <v>-1.99</v>
      </c>
    </row>
    <row r="192" customFormat="false" ht="15" hidden="false" customHeight="false" outlineLevel="0" collapsed="false">
      <c r="A192" s="5" t="s">
        <v>280</v>
      </c>
      <c r="B192" s="5" t="s">
        <v>68</v>
      </c>
      <c r="C192" s="5" t="s">
        <v>69</v>
      </c>
      <c r="D192" s="5" t="s">
        <v>43</v>
      </c>
      <c r="E192" s="5" t="s">
        <v>75</v>
      </c>
      <c r="F192" s="5" t="s">
        <v>76</v>
      </c>
      <c r="G192" s="5" t="n">
        <v>60610</v>
      </c>
      <c r="H192" s="5" t="s">
        <v>64</v>
      </c>
      <c r="I192" s="5" t="s">
        <v>47</v>
      </c>
      <c r="J192" s="5" t="s">
        <v>60</v>
      </c>
      <c r="K192" s="6" t="n">
        <v>154.91</v>
      </c>
      <c r="L192" s="5" t="n">
        <v>8</v>
      </c>
      <c r="M192" s="7" t="n">
        <v>0.3</v>
      </c>
      <c r="N192" s="6" t="n">
        <v>-18.51</v>
      </c>
    </row>
    <row r="193" customFormat="false" ht="15" hidden="false" customHeight="false" outlineLevel="0" collapsed="false">
      <c r="A193" s="5" t="s">
        <v>281</v>
      </c>
      <c r="B193" s="5" t="s">
        <v>57</v>
      </c>
      <c r="C193" s="5" t="s">
        <v>42</v>
      </c>
      <c r="D193" s="5" t="s">
        <v>43</v>
      </c>
      <c r="E193" s="5" t="s">
        <v>75</v>
      </c>
      <c r="F193" s="5" t="s">
        <v>76</v>
      </c>
      <c r="G193" s="5" t="n">
        <v>60610</v>
      </c>
      <c r="H193" s="5" t="s">
        <v>64</v>
      </c>
      <c r="I193" s="5" t="s">
        <v>47</v>
      </c>
      <c r="J193" s="5" t="s">
        <v>48</v>
      </c>
      <c r="K193" s="6" t="n">
        <v>19.63</v>
      </c>
      <c r="L193" s="5" t="n">
        <v>6</v>
      </c>
      <c r="M193" s="7" t="n">
        <v>0</v>
      </c>
      <c r="N193" s="6" t="n">
        <v>1.87</v>
      </c>
    </row>
    <row r="194" customFormat="false" ht="15" hidden="false" customHeight="false" outlineLevel="0" collapsed="false">
      <c r="A194" s="5" t="s">
        <v>203</v>
      </c>
      <c r="B194" s="5" t="s">
        <v>83</v>
      </c>
      <c r="C194" s="5" t="s">
        <v>50</v>
      </c>
      <c r="D194" s="5" t="s">
        <v>43</v>
      </c>
      <c r="E194" s="5" t="s">
        <v>176</v>
      </c>
      <c r="F194" s="5" t="s">
        <v>177</v>
      </c>
      <c r="G194" s="5" t="n">
        <v>55407</v>
      </c>
      <c r="H194" s="5" t="s">
        <v>64</v>
      </c>
      <c r="I194" s="5" t="s">
        <v>47</v>
      </c>
      <c r="J194" s="5" t="s">
        <v>60</v>
      </c>
      <c r="K194" s="6" t="n">
        <v>90.52</v>
      </c>
      <c r="L194" s="5" t="n">
        <v>2</v>
      </c>
      <c r="M194" s="7" t="n">
        <v>0.2</v>
      </c>
      <c r="N194" s="6" t="n">
        <v>3.65</v>
      </c>
    </row>
    <row r="195" customFormat="false" ht="15" hidden="false" customHeight="false" outlineLevel="0" collapsed="false">
      <c r="A195" s="5" t="s">
        <v>282</v>
      </c>
      <c r="B195" s="5" t="s">
        <v>57</v>
      </c>
      <c r="C195" s="5" t="s">
        <v>50</v>
      </c>
      <c r="D195" s="5" t="s">
        <v>43</v>
      </c>
      <c r="E195" s="5" t="s">
        <v>176</v>
      </c>
      <c r="F195" s="5" t="s">
        <v>177</v>
      </c>
      <c r="G195" s="5" t="n">
        <v>55407</v>
      </c>
      <c r="H195" s="5" t="s">
        <v>64</v>
      </c>
      <c r="I195" s="5" t="s">
        <v>54</v>
      </c>
      <c r="J195" s="5" t="s">
        <v>77</v>
      </c>
      <c r="K195" s="6" t="n">
        <v>137.63</v>
      </c>
      <c r="L195" s="5" t="n">
        <v>6</v>
      </c>
      <c r="M195" s="7" t="n">
        <v>0.2</v>
      </c>
      <c r="N195" s="6" t="n">
        <v>56.63</v>
      </c>
    </row>
    <row r="196" customFormat="false" ht="15" hidden="false" customHeight="false" outlineLevel="0" collapsed="false">
      <c r="A196" s="5" t="s">
        <v>283</v>
      </c>
      <c r="B196" s="5" t="s">
        <v>41</v>
      </c>
      <c r="C196" s="5" t="s">
        <v>69</v>
      </c>
      <c r="D196" s="5" t="s">
        <v>43</v>
      </c>
      <c r="E196" s="5" t="s">
        <v>44</v>
      </c>
      <c r="F196" s="5" t="s">
        <v>45</v>
      </c>
      <c r="G196" s="5" t="n">
        <v>10011</v>
      </c>
      <c r="H196" s="5" t="s">
        <v>46</v>
      </c>
      <c r="I196" s="5" t="s">
        <v>65</v>
      </c>
      <c r="J196" s="5" t="s">
        <v>120</v>
      </c>
      <c r="K196" s="6" t="n">
        <v>88.04</v>
      </c>
      <c r="L196" s="5" t="n">
        <v>9</v>
      </c>
      <c r="M196" s="7" t="n">
        <v>0.3</v>
      </c>
      <c r="N196" s="6" t="n">
        <v>8.17</v>
      </c>
    </row>
    <row r="197" customFormat="false" ht="15" hidden="false" customHeight="false" outlineLevel="0" collapsed="false">
      <c r="A197" s="5" t="s">
        <v>284</v>
      </c>
      <c r="B197" s="5" t="s">
        <v>68</v>
      </c>
      <c r="C197" s="5" t="s">
        <v>50</v>
      </c>
      <c r="D197" s="5" t="s">
        <v>43</v>
      </c>
      <c r="E197" s="5" t="s">
        <v>70</v>
      </c>
      <c r="F197" s="5" t="s">
        <v>71</v>
      </c>
      <c r="G197" s="5" t="n">
        <v>80219</v>
      </c>
      <c r="H197" s="5" t="s">
        <v>72</v>
      </c>
      <c r="I197" s="5" t="s">
        <v>54</v>
      </c>
      <c r="J197" s="5" t="s">
        <v>93</v>
      </c>
      <c r="K197" s="6" t="n">
        <v>919.58</v>
      </c>
      <c r="L197" s="5" t="n">
        <v>8</v>
      </c>
      <c r="M197" s="7" t="n">
        <v>0.7</v>
      </c>
      <c r="N197" s="6" t="n">
        <v>93.99</v>
      </c>
    </row>
    <row r="198" customFormat="false" ht="15" hidden="false" customHeight="false" outlineLevel="0" collapsed="false">
      <c r="A198" s="5" t="s">
        <v>285</v>
      </c>
      <c r="B198" s="5" t="s">
        <v>41</v>
      </c>
      <c r="C198" s="5" t="s">
        <v>69</v>
      </c>
      <c r="D198" s="5" t="s">
        <v>43</v>
      </c>
      <c r="E198" s="5" t="s">
        <v>107</v>
      </c>
      <c r="F198" s="5" t="s">
        <v>108</v>
      </c>
      <c r="G198" s="5" t="n">
        <v>7102</v>
      </c>
      <c r="H198" s="5" t="s">
        <v>46</v>
      </c>
      <c r="I198" s="5" t="s">
        <v>65</v>
      </c>
      <c r="J198" s="5" t="s">
        <v>120</v>
      </c>
      <c r="K198" s="6" t="n">
        <v>10.35</v>
      </c>
      <c r="L198" s="5" t="n">
        <v>2</v>
      </c>
      <c r="M198" s="7" t="n">
        <v>0.7</v>
      </c>
      <c r="N198" s="6" t="n">
        <v>-0.89</v>
      </c>
    </row>
    <row r="199" customFormat="false" ht="15" hidden="false" customHeight="false" outlineLevel="0" collapsed="false">
      <c r="A199" s="5" t="s">
        <v>286</v>
      </c>
      <c r="B199" s="5" t="s">
        <v>57</v>
      </c>
      <c r="C199" s="5" t="s">
        <v>50</v>
      </c>
      <c r="D199" s="5" t="s">
        <v>43</v>
      </c>
      <c r="E199" s="5" t="s">
        <v>100</v>
      </c>
      <c r="F199" s="5" t="s">
        <v>101</v>
      </c>
      <c r="G199" s="5" t="n">
        <v>19140</v>
      </c>
      <c r="H199" s="5" t="s">
        <v>46</v>
      </c>
      <c r="I199" s="5" t="s">
        <v>54</v>
      </c>
      <c r="J199" s="5" t="s">
        <v>93</v>
      </c>
      <c r="K199" s="6" t="n">
        <v>501.16</v>
      </c>
      <c r="L199" s="5" t="n">
        <v>2</v>
      </c>
      <c r="M199" s="7" t="n">
        <v>0.7</v>
      </c>
      <c r="N199" s="6" t="n">
        <v>21.03</v>
      </c>
    </row>
    <row r="200" customFormat="false" ht="15" hidden="false" customHeight="false" outlineLevel="0" collapsed="false">
      <c r="A200" s="5" t="s">
        <v>287</v>
      </c>
      <c r="B200" s="5" t="s">
        <v>41</v>
      </c>
      <c r="C200" s="5" t="s">
        <v>69</v>
      </c>
      <c r="D200" s="5" t="s">
        <v>43</v>
      </c>
      <c r="E200" s="5" t="s">
        <v>44</v>
      </c>
      <c r="F200" s="5" t="s">
        <v>45</v>
      </c>
      <c r="G200" s="5" t="n">
        <v>10011</v>
      </c>
      <c r="H200" s="5" t="s">
        <v>46</v>
      </c>
      <c r="I200" s="5" t="s">
        <v>65</v>
      </c>
      <c r="J200" s="5" t="s">
        <v>66</v>
      </c>
      <c r="K200" s="6" t="n">
        <v>105.53</v>
      </c>
      <c r="L200" s="5" t="n">
        <v>9</v>
      </c>
      <c r="M200" s="7" t="n">
        <v>0</v>
      </c>
      <c r="N200" s="6" t="n">
        <v>33.08</v>
      </c>
    </row>
    <row r="201" customFormat="false" ht="15" hidden="false" customHeight="false" outlineLevel="0" collapsed="false">
      <c r="A201" s="5" t="s">
        <v>288</v>
      </c>
      <c r="B201" s="5" t="s">
        <v>57</v>
      </c>
      <c r="C201" s="5" t="s">
        <v>50</v>
      </c>
      <c r="D201" s="5" t="s">
        <v>43</v>
      </c>
      <c r="E201" s="5" t="s">
        <v>58</v>
      </c>
      <c r="F201" s="5" t="s">
        <v>59</v>
      </c>
      <c r="G201" s="5" t="n">
        <v>30318</v>
      </c>
      <c r="H201" s="5" t="s">
        <v>53</v>
      </c>
      <c r="I201" s="5" t="s">
        <v>65</v>
      </c>
      <c r="J201" s="5" t="s">
        <v>66</v>
      </c>
      <c r="K201" s="6" t="n">
        <v>95.88</v>
      </c>
      <c r="L201" s="5" t="n">
        <v>2</v>
      </c>
      <c r="M201" s="7" t="n">
        <v>0.5</v>
      </c>
      <c r="N201" s="6" t="n">
        <v>-0.53</v>
      </c>
    </row>
    <row r="202" customFormat="false" ht="15" hidden="false" customHeight="false" outlineLevel="0" collapsed="false">
      <c r="A202" s="5" t="s">
        <v>289</v>
      </c>
      <c r="B202" s="5" t="s">
        <v>83</v>
      </c>
      <c r="C202" s="5" t="s">
        <v>69</v>
      </c>
      <c r="D202" s="5" t="s">
        <v>43</v>
      </c>
      <c r="E202" s="5" t="s">
        <v>95</v>
      </c>
      <c r="F202" s="5" t="s">
        <v>96</v>
      </c>
      <c r="G202" s="5" t="n">
        <v>97206</v>
      </c>
      <c r="H202" s="5" t="s">
        <v>72</v>
      </c>
      <c r="I202" s="5" t="s">
        <v>54</v>
      </c>
      <c r="J202" s="5" t="s">
        <v>93</v>
      </c>
      <c r="K202" s="6" t="n">
        <v>115.52</v>
      </c>
      <c r="L202" s="5" t="n">
        <v>2</v>
      </c>
      <c r="M202" s="7" t="n">
        <v>0</v>
      </c>
      <c r="N202" s="6" t="n">
        <v>63.34</v>
      </c>
    </row>
    <row r="203" customFormat="false" ht="15" hidden="false" customHeight="false" outlineLevel="0" collapsed="false">
      <c r="A203" s="5" t="s">
        <v>290</v>
      </c>
      <c r="B203" s="5" t="s">
        <v>57</v>
      </c>
      <c r="C203" s="5" t="s">
        <v>42</v>
      </c>
      <c r="D203" s="5" t="s">
        <v>43</v>
      </c>
      <c r="E203" s="5" t="s">
        <v>44</v>
      </c>
      <c r="F203" s="5" t="s">
        <v>45</v>
      </c>
      <c r="G203" s="5" t="n">
        <v>10011</v>
      </c>
      <c r="H203" s="5" t="s">
        <v>46</v>
      </c>
      <c r="I203" s="5" t="s">
        <v>65</v>
      </c>
      <c r="J203" s="5" t="s">
        <v>133</v>
      </c>
      <c r="K203" s="6" t="n">
        <v>102.11</v>
      </c>
      <c r="L203" s="5" t="n">
        <v>6</v>
      </c>
      <c r="M203" s="7" t="n">
        <v>0.2</v>
      </c>
      <c r="N203" s="6" t="n">
        <v>32.68</v>
      </c>
    </row>
    <row r="204" customFormat="false" ht="15" hidden="false" customHeight="false" outlineLevel="0" collapsed="false">
      <c r="A204" s="5" t="s">
        <v>291</v>
      </c>
      <c r="B204" s="5" t="s">
        <v>83</v>
      </c>
      <c r="C204" s="5" t="s">
        <v>69</v>
      </c>
      <c r="D204" s="5" t="s">
        <v>43</v>
      </c>
      <c r="E204" s="5" t="s">
        <v>100</v>
      </c>
      <c r="F204" s="5" t="s">
        <v>101</v>
      </c>
      <c r="G204" s="5" t="n">
        <v>19140</v>
      </c>
      <c r="H204" s="5" t="s">
        <v>46</v>
      </c>
      <c r="I204" s="5" t="s">
        <v>65</v>
      </c>
      <c r="J204" s="5" t="s">
        <v>138</v>
      </c>
      <c r="K204" s="6" t="n">
        <v>68.6</v>
      </c>
      <c r="L204" s="5" t="n">
        <v>9</v>
      </c>
      <c r="M204" s="7" t="n">
        <v>0.2</v>
      </c>
      <c r="N204" s="6" t="n">
        <v>11.91</v>
      </c>
    </row>
    <row r="205" customFormat="false" ht="15" hidden="false" customHeight="false" outlineLevel="0" collapsed="false">
      <c r="A205" s="5" t="s">
        <v>292</v>
      </c>
      <c r="B205" s="5" t="s">
        <v>83</v>
      </c>
      <c r="C205" s="5" t="s">
        <v>50</v>
      </c>
      <c r="D205" s="5" t="s">
        <v>43</v>
      </c>
      <c r="E205" s="5" t="s">
        <v>104</v>
      </c>
      <c r="F205" s="5" t="s">
        <v>105</v>
      </c>
      <c r="G205" s="5" t="n">
        <v>28205</v>
      </c>
      <c r="H205" s="5" t="s">
        <v>53</v>
      </c>
      <c r="I205" s="5" t="s">
        <v>54</v>
      </c>
      <c r="J205" s="5" t="s">
        <v>77</v>
      </c>
      <c r="K205" s="6" t="n">
        <v>223.63</v>
      </c>
      <c r="L205" s="5" t="n">
        <v>9</v>
      </c>
      <c r="M205" s="7" t="n">
        <v>0.15</v>
      </c>
      <c r="N205" s="6" t="n">
        <v>107.61</v>
      </c>
    </row>
    <row r="206" customFormat="false" ht="15" hidden="false" customHeight="false" outlineLevel="0" collapsed="false">
      <c r="A206" s="5" t="s">
        <v>293</v>
      </c>
      <c r="B206" s="5" t="s">
        <v>68</v>
      </c>
      <c r="C206" s="5" t="s">
        <v>69</v>
      </c>
      <c r="D206" s="5" t="s">
        <v>43</v>
      </c>
      <c r="E206" s="5" t="s">
        <v>104</v>
      </c>
      <c r="F206" s="5" t="s">
        <v>105</v>
      </c>
      <c r="G206" s="5" t="n">
        <v>28205</v>
      </c>
      <c r="H206" s="5" t="s">
        <v>53</v>
      </c>
      <c r="I206" s="5" t="s">
        <v>54</v>
      </c>
      <c r="J206" s="5" t="s">
        <v>93</v>
      </c>
      <c r="K206" s="6" t="n">
        <v>13.45</v>
      </c>
      <c r="L206" s="5" t="n">
        <v>5</v>
      </c>
      <c r="M206" s="7" t="n">
        <v>0</v>
      </c>
      <c r="N206" s="6" t="n">
        <v>6.92</v>
      </c>
    </row>
    <row r="207" customFormat="false" ht="15" hidden="false" customHeight="false" outlineLevel="0" collapsed="false">
      <c r="A207" s="5" t="s">
        <v>294</v>
      </c>
      <c r="B207" s="5" t="s">
        <v>41</v>
      </c>
      <c r="C207" s="5" t="s">
        <v>50</v>
      </c>
      <c r="D207" s="5" t="s">
        <v>43</v>
      </c>
      <c r="E207" s="5" t="s">
        <v>62</v>
      </c>
      <c r="F207" s="5" t="s">
        <v>63</v>
      </c>
      <c r="G207" s="5" t="n">
        <v>77095</v>
      </c>
      <c r="H207" s="5" t="s">
        <v>64</v>
      </c>
      <c r="I207" s="5" t="s">
        <v>65</v>
      </c>
      <c r="J207" s="5" t="s">
        <v>88</v>
      </c>
      <c r="K207" s="6" t="n">
        <v>46.42</v>
      </c>
      <c r="L207" s="5" t="n">
        <v>3</v>
      </c>
      <c r="M207" s="7" t="n">
        <v>0.5</v>
      </c>
      <c r="N207" s="6" t="n">
        <v>-2.32</v>
      </c>
    </row>
    <row r="208" customFormat="false" ht="15" hidden="false" customHeight="false" outlineLevel="0" collapsed="false">
      <c r="A208" s="5" t="s">
        <v>246</v>
      </c>
      <c r="B208" s="5" t="s">
        <v>57</v>
      </c>
      <c r="C208" s="5" t="s">
        <v>50</v>
      </c>
      <c r="D208" s="5" t="s">
        <v>43</v>
      </c>
      <c r="E208" s="5" t="s">
        <v>176</v>
      </c>
      <c r="F208" s="5" t="s">
        <v>177</v>
      </c>
      <c r="G208" s="5" t="n">
        <v>55407</v>
      </c>
      <c r="H208" s="5" t="s">
        <v>64</v>
      </c>
      <c r="I208" s="5" t="s">
        <v>54</v>
      </c>
      <c r="J208" s="5" t="s">
        <v>93</v>
      </c>
      <c r="K208" s="6" t="n">
        <v>135.77</v>
      </c>
      <c r="L208" s="5" t="n">
        <v>8</v>
      </c>
      <c r="M208" s="7" t="n">
        <v>0.2</v>
      </c>
      <c r="N208" s="6" t="n">
        <v>-32.58</v>
      </c>
    </row>
    <row r="209" customFormat="false" ht="15" hidden="false" customHeight="false" outlineLevel="0" collapsed="false">
      <c r="A209" s="5" t="s">
        <v>295</v>
      </c>
      <c r="B209" s="5" t="s">
        <v>83</v>
      </c>
      <c r="C209" s="5" t="s">
        <v>42</v>
      </c>
      <c r="D209" s="5" t="s">
        <v>43</v>
      </c>
      <c r="E209" s="5" t="s">
        <v>112</v>
      </c>
      <c r="F209" s="5" t="s">
        <v>63</v>
      </c>
      <c r="G209" s="5" t="n">
        <v>75217</v>
      </c>
      <c r="H209" s="5" t="s">
        <v>64</v>
      </c>
      <c r="I209" s="5" t="s">
        <v>65</v>
      </c>
      <c r="J209" s="5" t="s">
        <v>81</v>
      </c>
      <c r="K209" s="6" t="n">
        <v>79.91</v>
      </c>
      <c r="L209" s="5" t="n">
        <v>9</v>
      </c>
      <c r="M209" s="7" t="n">
        <v>0.5</v>
      </c>
      <c r="N209" s="6" t="n">
        <v>-5.09</v>
      </c>
    </row>
    <row r="210" customFormat="false" ht="15" hidden="false" customHeight="false" outlineLevel="0" collapsed="false">
      <c r="A210" s="5" t="s">
        <v>296</v>
      </c>
      <c r="B210" s="5" t="s">
        <v>68</v>
      </c>
      <c r="C210" s="5" t="s">
        <v>42</v>
      </c>
      <c r="D210" s="5" t="s">
        <v>43</v>
      </c>
      <c r="E210" s="5" t="s">
        <v>107</v>
      </c>
      <c r="F210" s="5" t="s">
        <v>108</v>
      </c>
      <c r="G210" s="5" t="n">
        <v>7102</v>
      </c>
      <c r="H210" s="5" t="s">
        <v>46</v>
      </c>
      <c r="I210" s="5" t="s">
        <v>47</v>
      </c>
      <c r="J210" s="5" t="s">
        <v>84</v>
      </c>
      <c r="K210" s="6" t="n">
        <v>210.94</v>
      </c>
      <c r="L210" s="5" t="n">
        <v>3</v>
      </c>
      <c r="M210" s="7" t="n">
        <v>0.2</v>
      </c>
      <c r="N210" s="6" t="n">
        <v>-20.1</v>
      </c>
    </row>
    <row r="211" customFormat="false" ht="15" hidden="false" customHeight="false" outlineLevel="0" collapsed="false">
      <c r="A211" s="5" t="s">
        <v>297</v>
      </c>
      <c r="B211" s="5" t="s">
        <v>57</v>
      </c>
      <c r="C211" s="5" t="s">
        <v>42</v>
      </c>
      <c r="D211" s="5" t="s">
        <v>43</v>
      </c>
      <c r="E211" s="5" t="s">
        <v>112</v>
      </c>
      <c r="F211" s="5" t="s">
        <v>63</v>
      </c>
      <c r="G211" s="5" t="n">
        <v>75217</v>
      </c>
      <c r="H211" s="5" t="s">
        <v>64</v>
      </c>
      <c r="I211" s="5" t="s">
        <v>47</v>
      </c>
      <c r="J211" s="5" t="s">
        <v>86</v>
      </c>
      <c r="K211" s="6" t="n">
        <v>64.8</v>
      </c>
      <c r="L211" s="5" t="n">
        <v>8</v>
      </c>
      <c r="M211" s="7" t="n">
        <v>0</v>
      </c>
      <c r="N211" s="6" t="n">
        <v>4.44</v>
      </c>
    </row>
    <row r="212" customFormat="false" ht="15" hidden="false" customHeight="false" outlineLevel="0" collapsed="false">
      <c r="A212" s="5" t="s">
        <v>298</v>
      </c>
      <c r="B212" s="5" t="s">
        <v>57</v>
      </c>
      <c r="C212" s="5" t="s">
        <v>69</v>
      </c>
      <c r="D212" s="5" t="s">
        <v>43</v>
      </c>
      <c r="E212" s="5" t="s">
        <v>176</v>
      </c>
      <c r="F212" s="5" t="s">
        <v>177</v>
      </c>
      <c r="G212" s="5" t="n">
        <v>55407</v>
      </c>
      <c r="H212" s="5" t="s">
        <v>64</v>
      </c>
      <c r="I212" s="5" t="s">
        <v>47</v>
      </c>
      <c r="J212" s="5" t="s">
        <v>84</v>
      </c>
      <c r="K212" s="6" t="n">
        <v>226.1</v>
      </c>
      <c r="L212" s="5" t="n">
        <v>2</v>
      </c>
      <c r="M212" s="7" t="n">
        <v>0.1</v>
      </c>
      <c r="N212" s="6" t="n">
        <v>-9.86</v>
      </c>
    </row>
    <row r="213" customFormat="false" ht="15" hidden="false" customHeight="false" outlineLevel="0" collapsed="false">
      <c r="A213" s="5" t="s">
        <v>299</v>
      </c>
      <c r="B213" s="5" t="s">
        <v>83</v>
      </c>
      <c r="C213" s="5" t="s">
        <v>42</v>
      </c>
      <c r="D213" s="5" t="s">
        <v>43</v>
      </c>
      <c r="E213" s="5" t="s">
        <v>70</v>
      </c>
      <c r="F213" s="5" t="s">
        <v>71</v>
      </c>
      <c r="G213" s="5" t="n">
        <v>80219</v>
      </c>
      <c r="H213" s="5" t="s">
        <v>72</v>
      </c>
      <c r="I213" s="5" t="s">
        <v>65</v>
      </c>
      <c r="J213" s="5" t="s">
        <v>109</v>
      </c>
      <c r="K213" s="6" t="n">
        <v>174.97</v>
      </c>
      <c r="L213" s="5" t="n">
        <v>4</v>
      </c>
      <c r="M213" s="7" t="n">
        <v>0.15</v>
      </c>
      <c r="N213" s="6" t="n">
        <v>41.96</v>
      </c>
    </row>
    <row r="214" customFormat="false" ht="15" hidden="false" customHeight="false" outlineLevel="0" collapsed="false">
      <c r="A214" s="5" t="s">
        <v>300</v>
      </c>
      <c r="B214" s="5" t="s">
        <v>68</v>
      </c>
      <c r="C214" s="5" t="s">
        <v>50</v>
      </c>
      <c r="D214" s="5" t="s">
        <v>43</v>
      </c>
      <c r="E214" s="5" t="s">
        <v>107</v>
      </c>
      <c r="F214" s="5" t="s">
        <v>108</v>
      </c>
      <c r="G214" s="5" t="n">
        <v>7102</v>
      </c>
      <c r="H214" s="5" t="s">
        <v>46</v>
      </c>
      <c r="I214" s="5" t="s">
        <v>47</v>
      </c>
      <c r="J214" s="5" t="s">
        <v>84</v>
      </c>
      <c r="K214" s="6" t="n">
        <v>314.39</v>
      </c>
      <c r="L214" s="5" t="n">
        <v>2</v>
      </c>
      <c r="M214" s="7" t="n">
        <v>0</v>
      </c>
      <c r="N214" s="6" t="n">
        <v>31.13</v>
      </c>
    </row>
    <row r="215" customFormat="false" ht="15" hidden="false" customHeight="false" outlineLevel="0" collapsed="false">
      <c r="A215" s="5" t="s">
        <v>301</v>
      </c>
      <c r="B215" s="5" t="s">
        <v>68</v>
      </c>
      <c r="C215" s="5" t="s">
        <v>69</v>
      </c>
      <c r="D215" s="5" t="s">
        <v>43</v>
      </c>
      <c r="E215" s="5" t="s">
        <v>95</v>
      </c>
      <c r="F215" s="5" t="s">
        <v>96</v>
      </c>
      <c r="G215" s="5" t="n">
        <v>97206</v>
      </c>
      <c r="H215" s="5" t="s">
        <v>72</v>
      </c>
      <c r="I215" s="5" t="s">
        <v>54</v>
      </c>
      <c r="J215" s="5" t="s">
        <v>55</v>
      </c>
      <c r="K215" s="6" t="n">
        <v>178.07</v>
      </c>
      <c r="L215" s="5" t="n">
        <v>3</v>
      </c>
      <c r="M215" s="7" t="n">
        <v>0.5</v>
      </c>
      <c r="N215" s="6" t="n">
        <v>4.5</v>
      </c>
    </row>
    <row r="216" customFormat="false" ht="15" hidden="false" customHeight="false" outlineLevel="0" collapsed="false">
      <c r="A216" s="5" t="s">
        <v>302</v>
      </c>
      <c r="B216" s="5" t="s">
        <v>68</v>
      </c>
      <c r="C216" s="5" t="s">
        <v>69</v>
      </c>
      <c r="D216" s="5" t="s">
        <v>43</v>
      </c>
      <c r="E216" s="5" t="s">
        <v>44</v>
      </c>
      <c r="F216" s="5" t="s">
        <v>45</v>
      </c>
      <c r="G216" s="5" t="n">
        <v>10011</v>
      </c>
      <c r="H216" s="5" t="s">
        <v>46</v>
      </c>
      <c r="I216" s="5" t="s">
        <v>47</v>
      </c>
      <c r="J216" s="5" t="s">
        <v>86</v>
      </c>
      <c r="K216" s="6" t="n">
        <v>70.21</v>
      </c>
      <c r="L216" s="5" t="n">
        <v>8</v>
      </c>
      <c r="M216" s="7" t="n">
        <v>0.15</v>
      </c>
      <c r="N216" s="6" t="n">
        <v>-6.43</v>
      </c>
    </row>
    <row r="217" customFormat="false" ht="15" hidden="false" customHeight="false" outlineLevel="0" collapsed="false">
      <c r="A217" s="5" t="s">
        <v>303</v>
      </c>
      <c r="B217" s="5" t="s">
        <v>41</v>
      </c>
      <c r="C217" s="5" t="s">
        <v>42</v>
      </c>
      <c r="D217" s="5" t="s">
        <v>43</v>
      </c>
      <c r="E217" s="5" t="s">
        <v>51</v>
      </c>
      <c r="F217" s="5" t="s">
        <v>52</v>
      </c>
      <c r="G217" s="5" t="n">
        <v>37211</v>
      </c>
      <c r="H217" s="5" t="s">
        <v>53</v>
      </c>
      <c r="I217" s="5" t="s">
        <v>65</v>
      </c>
      <c r="J217" s="5" t="s">
        <v>133</v>
      </c>
      <c r="K217" s="6" t="n">
        <v>140.26</v>
      </c>
      <c r="L217" s="5" t="n">
        <v>4</v>
      </c>
      <c r="M217" s="7" t="n">
        <v>0</v>
      </c>
      <c r="N217" s="6" t="n">
        <v>48.7</v>
      </c>
    </row>
    <row r="218" customFormat="false" ht="15" hidden="false" customHeight="false" outlineLevel="0" collapsed="false">
      <c r="A218" s="5" t="s">
        <v>272</v>
      </c>
      <c r="B218" s="5" t="s">
        <v>57</v>
      </c>
      <c r="C218" s="5" t="s">
        <v>42</v>
      </c>
      <c r="D218" s="5" t="s">
        <v>43</v>
      </c>
      <c r="E218" s="5" t="s">
        <v>114</v>
      </c>
      <c r="F218" s="5" t="s">
        <v>115</v>
      </c>
      <c r="G218" s="5" t="n">
        <v>90036</v>
      </c>
      <c r="H218" s="5" t="s">
        <v>72</v>
      </c>
      <c r="I218" s="5" t="s">
        <v>47</v>
      </c>
      <c r="J218" s="5" t="s">
        <v>86</v>
      </c>
      <c r="K218" s="6" t="n">
        <v>190.54</v>
      </c>
      <c r="L218" s="5" t="n">
        <v>6</v>
      </c>
      <c r="M218" s="7" t="n">
        <v>0</v>
      </c>
      <c r="N218" s="6" t="n">
        <v>5.3</v>
      </c>
    </row>
    <row r="219" customFormat="false" ht="15" hidden="false" customHeight="false" outlineLevel="0" collapsed="false">
      <c r="A219" s="5" t="s">
        <v>304</v>
      </c>
      <c r="B219" s="5" t="s">
        <v>68</v>
      </c>
      <c r="C219" s="5" t="s">
        <v>50</v>
      </c>
      <c r="D219" s="5" t="s">
        <v>43</v>
      </c>
      <c r="E219" s="5" t="s">
        <v>112</v>
      </c>
      <c r="F219" s="5" t="s">
        <v>63</v>
      </c>
      <c r="G219" s="5" t="n">
        <v>75217</v>
      </c>
      <c r="H219" s="5" t="s">
        <v>64</v>
      </c>
      <c r="I219" s="5" t="s">
        <v>65</v>
      </c>
      <c r="J219" s="5" t="s">
        <v>120</v>
      </c>
      <c r="K219" s="6" t="n">
        <v>20.74</v>
      </c>
      <c r="L219" s="5" t="n">
        <v>7</v>
      </c>
      <c r="M219" s="7" t="n">
        <v>0.7</v>
      </c>
      <c r="N219" s="6" t="n">
        <v>1.68</v>
      </c>
    </row>
    <row r="220" customFormat="false" ht="15" hidden="false" customHeight="false" outlineLevel="0" collapsed="false">
      <c r="A220" s="5" t="s">
        <v>305</v>
      </c>
      <c r="B220" s="5" t="s">
        <v>68</v>
      </c>
      <c r="C220" s="5" t="s">
        <v>42</v>
      </c>
      <c r="D220" s="5" t="s">
        <v>43</v>
      </c>
      <c r="E220" s="5" t="s">
        <v>95</v>
      </c>
      <c r="F220" s="5" t="s">
        <v>96</v>
      </c>
      <c r="G220" s="5" t="n">
        <v>97206</v>
      </c>
      <c r="H220" s="5" t="s">
        <v>72</v>
      </c>
      <c r="I220" s="5" t="s">
        <v>65</v>
      </c>
      <c r="J220" s="5" t="s">
        <v>66</v>
      </c>
      <c r="K220" s="6" t="n">
        <v>44.92</v>
      </c>
      <c r="L220" s="5" t="n">
        <v>8</v>
      </c>
      <c r="M220" s="7" t="n">
        <v>0</v>
      </c>
      <c r="N220" s="6" t="n">
        <v>11.35</v>
      </c>
    </row>
    <row r="221" customFormat="false" ht="15" hidden="false" customHeight="false" outlineLevel="0" collapsed="false">
      <c r="A221" s="5" t="s">
        <v>306</v>
      </c>
      <c r="B221" s="5" t="s">
        <v>68</v>
      </c>
      <c r="C221" s="5" t="s">
        <v>42</v>
      </c>
      <c r="D221" s="5" t="s">
        <v>43</v>
      </c>
      <c r="E221" s="5" t="s">
        <v>75</v>
      </c>
      <c r="F221" s="5" t="s">
        <v>76</v>
      </c>
      <c r="G221" s="5" t="n">
        <v>60610</v>
      </c>
      <c r="H221" s="5" t="s">
        <v>64</v>
      </c>
      <c r="I221" s="5" t="s">
        <v>47</v>
      </c>
      <c r="J221" s="5" t="s">
        <v>48</v>
      </c>
      <c r="K221" s="6" t="n">
        <v>162.96</v>
      </c>
      <c r="L221" s="5" t="n">
        <v>5</v>
      </c>
      <c r="M221" s="7" t="n">
        <v>0.1</v>
      </c>
      <c r="N221" s="6" t="n">
        <v>19.05</v>
      </c>
    </row>
    <row r="222" customFormat="false" ht="15" hidden="false" customHeight="false" outlineLevel="0" collapsed="false">
      <c r="A222" s="5" t="s">
        <v>307</v>
      </c>
      <c r="B222" s="5" t="s">
        <v>41</v>
      </c>
      <c r="C222" s="5" t="s">
        <v>42</v>
      </c>
      <c r="D222" s="5" t="s">
        <v>43</v>
      </c>
      <c r="E222" s="5" t="s">
        <v>91</v>
      </c>
      <c r="F222" s="5" t="s">
        <v>92</v>
      </c>
      <c r="G222" s="5" t="n">
        <v>33311</v>
      </c>
      <c r="H222" s="5" t="s">
        <v>53</v>
      </c>
      <c r="I222" s="5" t="s">
        <v>47</v>
      </c>
      <c r="J222" s="5" t="s">
        <v>84</v>
      </c>
      <c r="K222" s="6" t="n">
        <v>257.91</v>
      </c>
      <c r="L222" s="5" t="n">
        <v>3</v>
      </c>
      <c r="M222" s="7" t="n">
        <v>0</v>
      </c>
      <c r="N222" s="6" t="n">
        <v>4.21</v>
      </c>
    </row>
    <row r="223" customFormat="false" ht="15" hidden="false" customHeight="false" outlineLevel="0" collapsed="false">
      <c r="A223" s="5" t="s">
        <v>308</v>
      </c>
      <c r="B223" s="5" t="s">
        <v>83</v>
      </c>
      <c r="C223" s="5" t="s">
        <v>50</v>
      </c>
      <c r="D223" s="5" t="s">
        <v>43</v>
      </c>
      <c r="E223" s="5" t="s">
        <v>91</v>
      </c>
      <c r="F223" s="5" t="s">
        <v>92</v>
      </c>
      <c r="G223" s="5" t="n">
        <v>33311</v>
      </c>
      <c r="H223" s="5" t="s">
        <v>53</v>
      </c>
      <c r="I223" s="5" t="s">
        <v>54</v>
      </c>
      <c r="J223" s="5" t="s">
        <v>73</v>
      </c>
      <c r="K223" s="6" t="n">
        <v>243.6</v>
      </c>
      <c r="L223" s="5" t="n">
        <v>9</v>
      </c>
      <c r="M223" s="7" t="n">
        <v>0.2</v>
      </c>
      <c r="N223" s="6" t="n">
        <v>57.99</v>
      </c>
    </row>
    <row r="224" customFormat="false" ht="15" hidden="false" customHeight="false" outlineLevel="0" collapsed="false">
      <c r="A224" s="5" t="s">
        <v>309</v>
      </c>
      <c r="B224" s="5" t="s">
        <v>83</v>
      </c>
      <c r="C224" s="5" t="s">
        <v>42</v>
      </c>
      <c r="D224" s="5" t="s">
        <v>43</v>
      </c>
      <c r="E224" s="5" t="s">
        <v>100</v>
      </c>
      <c r="F224" s="5" t="s">
        <v>101</v>
      </c>
      <c r="G224" s="5" t="n">
        <v>19140</v>
      </c>
      <c r="H224" s="5" t="s">
        <v>46</v>
      </c>
      <c r="I224" s="5" t="s">
        <v>47</v>
      </c>
      <c r="J224" s="5" t="s">
        <v>86</v>
      </c>
      <c r="K224" s="6" t="n">
        <v>174.23</v>
      </c>
      <c r="L224" s="5" t="n">
        <v>7</v>
      </c>
      <c r="M224" s="7" t="n">
        <v>0.7</v>
      </c>
      <c r="N224" s="6" t="n">
        <v>-82.55</v>
      </c>
    </row>
    <row r="225" customFormat="false" ht="15" hidden="false" customHeight="false" outlineLevel="0" collapsed="false">
      <c r="A225" s="5" t="s">
        <v>310</v>
      </c>
      <c r="B225" s="5" t="s">
        <v>41</v>
      </c>
      <c r="C225" s="5" t="s">
        <v>42</v>
      </c>
      <c r="D225" s="5" t="s">
        <v>43</v>
      </c>
      <c r="E225" s="5" t="s">
        <v>58</v>
      </c>
      <c r="F225" s="5" t="s">
        <v>59</v>
      </c>
      <c r="G225" s="5" t="n">
        <v>30318</v>
      </c>
      <c r="H225" s="5" t="s">
        <v>53</v>
      </c>
      <c r="I225" s="5" t="s">
        <v>65</v>
      </c>
      <c r="J225" s="5" t="s">
        <v>88</v>
      </c>
      <c r="K225" s="6" t="n">
        <v>42.97</v>
      </c>
      <c r="L225" s="5" t="n">
        <v>3</v>
      </c>
      <c r="M225" s="7" t="n">
        <v>0.5</v>
      </c>
      <c r="N225" s="6" t="n">
        <v>-2.82</v>
      </c>
    </row>
    <row r="226" customFormat="false" ht="15" hidden="false" customHeight="false" outlineLevel="0" collapsed="false">
      <c r="A226" s="5" t="s">
        <v>311</v>
      </c>
      <c r="B226" s="5" t="s">
        <v>68</v>
      </c>
      <c r="C226" s="5" t="s">
        <v>69</v>
      </c>
      <c r="D226" s="5" t="s">
        <v>43</v>
      </c>
      <c r="E226" s="5" t="s">
        <v>107</v>
      </c>
      <c r="F226" s="5" t="s">
        <v>108</v>
      </c>
      <c r="G226" s="5" t="n">
        <v>7102</v>
      </c>
      <c r="H226" s="5" t="s">
        <v>46</v>
      </c>
      <c r="I226" s="5" t="s">
        <v>65</v>
      </c>
      <c r="J226" s="5" t="s">
        <v>120</v>
      </c>
      <c r="K226" s="6" t="n">
        <v>87.62</v>
      </c>
      <c r="L226" s="5" t="n">
        <v>8</v>
      </c>
      <c r="M226" s="7" t="n">
        <v>0.2</v>
      </c>
      <c r="N226" s="6" t="n">
        <v>8.48</v>
      </c>
    </row>
    <row r="227" customFormat="false" ht="15" hidden="false" customHeight="false" outlineLevel="0" collapsed="false">
      <c r="A227" s="5" t="s">
        <v>312</v>
      </c>
      <c r="B227" s="5" t="s">
        <v>83</v>
      </c>
      <c r="C227" s="5" t="s">
        <v>69</v>
      </c>
      <c r="D227" s="5" t="s">
        <v>43</v>
      </c>
      <c r="E227" s="5" t="s">
        <v>51</v>
      </c>
      <c r="F227" s="5" t="s">
        <v>52</v>
      </c>
      <c r="G227" s="5" t="n">
        <v>37211</v>
      </c>
      <c r="H227" s="5" t="s">
        <v>53</v>
      </c>
      <c r="I227" s="5" t="s">
        <v>54</v>
      </c>
      <c r="J227" s="5" t="s">
        <v>77</v>
      </c>
      <c r="K227" s="6" t="n">
        <v>140.56</v>
      </c>
      <c r="L227" s="5" t="n">
        <v>8</v>
      </c>
      <c r="M227" s="7" t="n">
        <v>0</v>
      </c>
      <c r="N227" s="6" t="n">
        <v>72.64</v>
      </c>
    </row>
    <row r="228" customFormat="false" ht="15" hidden="false" customHeight="false" outlineLevel="0" collapsed="false">
      <c r="A228" s="5" t="s">
        <v>313</v>
      </c>
      <c r="B228" s="5" t="s">
        <v>68</v>
      </c>
      <c r="C228" s="5" t="s">
        <v>42</v>
      </c>
      <c r="D228" s="5" t="s">
        <v>43</v>
      </c>
      <c r="E228" s="5" t="s">
        <v>107</v>
      </c>
      <c r="F228" s="5" t="s">
        <v>108</v>
      </c>
      <c r="G228" s="5" t="n">
        <v>7102</v>
      </c>
      <c r="H228" s="5" t="s">
        <v>46</v>
      </c>
      <c r="I228" s="5" t="s">
        <v>65</v>
      </c>
      <c r="J228" s="5" t="s">
        <v>133</v>
      </c>
      <c r="K228" s="6" t="n">
        <v>43.13</v>
      </c>
      <c r="L228" s="5" t="n">
        <v>1</v>
      </c>
      <c r="M228" s="7" t="n">
        <v>0</v>
      </c>
      <c r="N228" s="6" t="n">
        <v>14.82</v>
      </c>
    </row>
    <row r="229" customFormat="false" ht="15" hidden="false" customHeight="false" outlineLevel="0" collapsed="false">
      <c r="A229" s="5" t="s">
        <v>314</v>
      </c>
      <c r="B229" s="5" t="s">
        <v>83</v>
      </c>
      <c r="C229" s="5" t="s">
        <v>50</v>
      </c>
      <c r="D229" s="5" t="s">
        <v>43</v>
      </c>
      <c r="E229" s="5" t="s">
        <v>62</v>
      </c>
      <c r="F229" s="5" t="s">
        <v>63</v>
      </c>
      <c r="G229" s="5" t="n">
        <v>77095</v>
      </c>
      <c r="H229" s="5" t="s">
        <v>64</v>
      </c>
      <c r="I229" s="5" t="s">
        <v>54</v>
      </c>
      <c r="J229" s="5" t="s">
        <v>55</v>
      </c>
      <c r="K229" s="6" t="n">
        <v>35.43</v>
      </c>
      <c r="L229" s="5" t="n">
        <v>4</v>
      </c>
      <c r="M229" s="7" t="n">
        <v>0</v>
      </c>
      <c r="N229" s="6" t="n">
        <v>14.1</v>
      </c>
    </row>
    <row r="230" customFormat="false" ht="15" hidden="false" customHeight="false" outlineLevel="0" collapsed="false">
      <c r="A230" s="5" t="s">
        <v>315</v>
      </c>
      <c r="B230" s="5" t="s">
        <v>57</v>
      </c>
      <c r="C230" s="5" t="s">
        <v>50</v>
      </c>
      <c r="D230" s="5" t="s">
        <v>43</v>
      </c>
      <c r="E230" s="5" t="s">
        <v>91</v>
      </c>
      <c r="F230" s="5" t="s">
        <v>92</v>
      </c>
      <c r="G230" s="5" t="n">
        <v>33311</v>
      </c>
      <c r="H230" s="5" t="s">
        <v>53</v>
      </c>
      <c r="I230" s="5" t="s">
        <v>54</v>
      </c>
      <c r="J230" s="5" t="s">
        <v>93</v>
      </c>
      <c r="K230" s="6" t="n">
        <v>8144.44</v>
      </c>
      <c r="L230" s="5" t="n">
        <v>8</v>
      </c>
      <c r="M230" s="7" t="n">
        <v>0.5</v>
      </c>
      <c r="N230" s="6" t="n">
        <v>-2075.14</v>
      </c>
    </row>
    <row r="231" customFormat="false" ht="15" hidden="false" customHeight="false" outlineLevel="0" collapsed="false">
      <c r="A231" s="5" t="s">
        <v>316</v>
      </c>
      <c r="B231" s="5" t="s">
        <v>83</v>
      </c>
      <c r="C231" s="5" t="s">
        <v>50</v>
      </c>
      <c r="D231" s="5" t="s">
        <v>43</v>
      </c>
      <c r="E231" s="5" t="s">
        <v>95</v>
      </c>
      <c r="F231" s="5" t="s">
        <v>96</v>
      </c>
      <c r="G231" s="5" t="n">
        <v>97206</v>
      </c>
      <c r="H231" s="5" t="s">
        <v>72</v>
      </c>
      <c r="I231" s="5" t="s">
        <v>47</v>
      </c>
      <c r="J231" s="5" t="s">
        <v>60</v>
      </c>
      <c r="K231" s="6" t="n">
        <v>2261.16</v>
      </c>
      <c r="L231" s="5" t="n">
        <v>1</v>
      </c>
      <c r="M231" s="7" t="n">
        <v>0.5</v>
      </c>
      <c r="N231" s="6" t="n">
        <v>-236.18</v>
      </c>
    </row>
    <row r="232" customFormat="false" ht="15" hidden="false" customHeight="false" outlineLevel="0" collapsed="false">
      <c r="A232" s="5" t="s">
        <v>317</v>
      </c>
      <c r="B232" s="5" t="s">
        <v>68</v>
      </c>
      <c r="C232" s="5" t="s">
        <v>42</v>
      </c>
      <c r="D232" s="5" t="s">
        <v>43</v>
      </c>
      <c r="E232" s="5" t="s">
        <v>75</v>
      </c>
      <c r="F232" s="5" t="s">
        <v>76</v>
      </c>
      <c r="G232" s="5" t="n">
        <v>60610</v>
      </c>
      <c r="H232" s="5" t="s">
        <v>64</v>
      </c>
      <c r="I232" s="5" t="s">
        <v>54</v>
      </c>
      <c r="J232" s="5" t="s">
        <v>73</v>
      </c>
      <c r="K232" s="6" t="n">
        <v>428.13</v>
      </c>
      <c r="L232" s="5" t="n">
        <v>4</v>
      </c>
      <c r="M232" s="7" t="n">
        <v>0</v>
      </c>
      <c r="N232" s="6" t="n">
        <v>146.83</v>
      </c>
    </row>
    <row r="233" customFormat="false" ht="15" hidden="false" customHeight="false" outlineLevel="0" collapsed="false">
      <c r="A233" s="5" t="s">
        <v>318</v>
      </c>
      <c r="B233" s="5" t="s">
        <v>57</v>
      </c>
      <c r="C233" s="5" t="s">
        <v>50</v>
      </c>
      <c r="D233" s="5" t="s">
        <v>43</v>
      </c>
      <c r="E233" s="5" t="s">
        <v>104</v>
      </c>
      <c r="F233" s="5" t="s">
        <v>105</v>
      </c>
      <c r="G233" s="5" t="n">
        <v>28205</v>
      </c>
      <c r="H233" s="5" t="s">
        <v>53</v>
      </c>
      <c r="I233" s="5" t="s">
        <v>54</v>
      </c>
      <c r="J233" s="5" t="s">
        <v>77</v>
      </c>
      <c r="K233" s="6" t="n">
        <v>22.84</v>
      </c>
      <c r="L233" s="5" t="n">
        <v>6</v>
      </c>
      <c r="M233" s="7" t="n">
        <v>0.2</v>
      </c>
      <c r="N233" s="6" t="n">
        <v>10.04</v>
      </c>
    </row>
    <row r="234" customFormat="false" ht="15" hidden="false" customHeight="false" outlineLevel="0" collapsed="false">
      <c r="A234" s="5" t="s">
        <v>319</v>
      </c>
      <c r="B234" s="5" t="s">
        <v>83</v>
      </c>
      <c r="C234" s="5" t="s">
        <v>42</v>
      </c>
      <c r="D234" s="5" t="s">
        <v>43</v>
      </c>
      <c r="E234" s="5" t="s">
        <v>91</v>
      </c>
      <c r="F234" s="5" t="s">
        <v>92</v>
      </c>
      <c r="G234" s="5" t="n">
        <v>33311</v>
      </c>
      <c r="H234" s="5" t="s">
        <v>53</v>
      </c>
      <c r="I234" s="5" t="s">
        <v>65</v>
      </c>
      <c r="J234" s="5" t="s">
        <v>66</v>
      </c>
      <c r="K234" s="6" t="n">
        <v>45.77</v>
      </c>
      <c r="L234" s="5" t="n">
        <v>4</v>
      </c>
      <c r="M234" s="7" t="n">
        <v>0.3</v>
      </c>
      <c r="N234" s="6" t="n">
        <v>2.24</v>
      </c>
    </row>
    <row r="235" customFormat="false" ht="15" hidden="false" customHeight="false" outlineLevel="0" collapsed="false">
      <c r="A235" s="5" t="s">
        <v>320</v>
      </c>
      <c r="B235" s="5" t="s">
        <v>68</v>
      </c>
      <c r="C235" s="5" t="s">
        <v>42</v>
      </c>
      <c r="D235" s="5" t="s">
        <v>43</v>
      </c>
      <c r="E235" s="5" t="s">
        <v>112</v>
      </c>
      <c r="F235" s="5" t="s">
        <v>63</v>
      </c>
      <c r="G235" s="5" t="n">
        <v>75217</v>
      </c>
      <c r="H235" s="5" t="s">
        <v>64</v>
      </c>
      <c r="I235" s="5" t="s">
        <v>54</v>
      </c>
      <c r="J235" s="5" t="s">
        <v>77</v>
      </c>
      <c r="K235" s="6" t="n">
        <v>153.06</v>
      </c>
      <c r="L235" s="5" t="n">
        <v>4</v>
      </c>
      <c r="M235" s="7" t="n">
        <v>0.1</v>
      </c>
      <c r="N235" s="6" t="n">
        <v>64.2</v>
      </c>
    </row>
    <row r="236" customFormat="false" ht="15" hidden="false" customHeight="false" outlineLevel="0" collapsed="false">
      <c r="A236" s="5" t="s">
        <v>321</v>
      </c>
      <c r="B236" s="5" t="s">
        <v>41</v>
      </c>
      <c r="C236" s="5" t="s">
        <v>50</v>
      </c>
      <c r="D236" s="5" t="s">
        <v>43</v>
      </c>
      <c r="E236" s="5" t="s">
        <v>91</v>
      </c>
      <c r="F236" s="5" t="s">
        <v>92</v>
      </c>
      <c r="G236" s="5" t="n">
        <v>33311</v>
      </c>
      <c r="H236" s="5" t="s">
        <v>53</v>
      </c>
      <c r="I236" s="5" t="s">
        <v>65</v>
      </c>
      <c r="J236" s="5" t="s">
        <v>109</v>
      </c>
      <c r="K236" s="6" t="n">
        <v>85.42</v>
      </c>
      <c r="L236" s="5" t="n">
        <v>4</v>
      </c>
      <c r="M236" s="7" t="n">
        <v>0</v>
      </c>
      <c r="N236" s="6" t="n">
        <v>26.34</v>
      </c>
    </row>
    <row r="237" customFormat="false" ht="15" hidden="false" customHeight="false" outlineLevel="0" collapsed="false">
      <c r="A237" s="5" t="s">
        <v>322</v>
      </c>
      <c r="B237" s="5" t="s">
        <v>57</v>
      </c>
      <c r="C237" s="5" t="s">
        <v>42</v>
      </c>
      <c r="D237" s="5" t="s">
        <v>43</v>
      </c>
      <c r="E237" s="5" t="s">
        <v>70</v>
      </c>
      <c r="F237" s="5" t="s">
        <v>71</v>
      </c>
      <c r="G237" s="5" t="n">
        <v>80219</v>
      </c>
      <c r="H237" s="5" t="s">
        <v>72</v>
      </c>
      <c r="I237" s="5" t="s">
        <v>47</v>
      </c>
      <c r="J237" s="5" t="s">
        <v>84</v>
      </c>
      <c r="K237" s="6" t="n">
        <v>28.44</v>
      </c>
      <c r="L237" s="5" t="n">
        <v>9</v>
      </c>
      <c r="M237" s="7" t="n">
        <v>0</v>
      </c>
      <c r="N237" s="6" t="n">
        <v>-1.46</v>
      </c>
    </row>
    <row r="238" customFormat="false" ht="15" hidden="false" customHeight="false" outlineLevel="0" collapsed="false">
      <c r="A238" s="5" t="s">
        <v>261</v>
      </c>
      <c r="B238" s="5" t="s">
        <v>68</v>
      </c>
      <c r="C238" s="5" t="s">
        <v>69</v>
      </c>
      <c r="D238" s="5" t="s">
        <v>43</v>
      </c>
      <c r="E238" s="5" t="s">
        <v>112</v>
      </c>
      <c r="F238" s="5" t="s">
        <v>63</v>
      </c>
      <c r="G238" s="5" t="n">
        <v>75217</v>
      </c>
      <c r="H238" s="5" t="s">
        <v>64</v>
      </c>
      <c r="I238" s="5" t="s">
        <v>47</v>
      </c>
      <c r="J238" s="5" t="s">
        <v>48</v>
      </c>
      <c r="K238" s="6" t="n">
        <v>65.52</v>
      </c>
      <c r="L238" s="5" t="n">
        <v>3</v>
      </c>
      <c r="M238" s="7" t="n">
        <v>0.1</v>
      </c>
      <c r="N238" s="6" t="n">
        <v>-10.48</v>
      </c>
    </row>
    <row r="239" customFormat="false" ht="15" hidden="false" customHeight="false" outlineLevel="0" collapsed="false">
      <c r="A239" s="5" t="s">
        <v>323</v>
      </c>
      <c r="B239" s="5" t="s">
        <v>83</v>
      </c>
      <c r="C239" s="5" t="s">
        <v>50</v>
      </c>
      <c r="D239" s="5" t="s">
        <v>43</v>
      </c>
      <c r="E239" s="5" t="s">
        <v>51</v>
      </c>
      <c r="F239" s="5" t="s">
        <v>52</v>
      </c>
      <c r="G239" s="5" t="n">
        <v>37211</v>
      </c>
      <c r="H239" s="5" t="s">
        <v>53</v>
      </c>
      <c r="I239" s="5" t="s">
        <v>47</v>
      </c>
      <c r="J239" s="5" t="s">
        <v>84</v>
      </c>
      <c r="K239" s="6" t="n">
        <v>26.75</v>
      </c>
      <c r="L239" s="5" t="n">
        <v>3</v>
      </c>
      <c r="M239" s="7" t="n">
        <v>0.1</v>
      </c>
      <c r="N239" s="6" t="n">
        <v>-2.59</v>
      </c>
    </row>
    <row r="240" customFormat="false" ht="15" hidden="false" customHeight="false" outlineLevel="0" collapsed="false">
      <c r="A240" s="5" t="s">
        <v>324</v>
      </c>
      <c r="B240" s="5" t="s">
        <v>83</v>
      </c>
      <c r="C240" s="5" t="s">
        <v>50</v>
      </c>
      <c r="D240" s="5" t="s">
        <v>43</v>
      </c>
      <c r="E240" s="5" t="s">
        <v>91</v>
      </c>
      <c r="F240" s="5" t="s">
        <v>92</v>
      </c>
      <c r="G240" s="5" t="n">
        <v>33311</v>
      </c>
      <c r="H240" s="5" t="s">
        <v>53</v>
      </c>
      <c r="I240" s="5" t="s">
        <v>54</v>
      </c>
      <c r="J240" s="5" t="s">
        <v>93</v>
      </c>
      <c r="K240" s="6" t="n">
        <v>202.26</v>
      </c>
      <c r="L240" s="5" t="n">
        <v>2</v>
      </c>
      <c r="M240" s="7" t="n">
        <v>0</v>
      </c>
      <c r="N240" s="6" t="n">
        <v>97.8</v>
      </c>
    </row>
    <row r="241" customFormat="false" ht="15" hidden="false" customHeight="false" outlineLevel="0" collapsed="false">
      <c r="A241" s="5" t="s">
        <v>325</v>
      </c>
      <c r="B241" s="5" t="s">
        <v>57</v>
      </c>
      <c r="C241" s="5" t="s">
        <v>69</v>
      </c>
      <c r="D241" s="5" t="s">
        <v>43</v>
      </c>
      <c r="E241" s="5" t="s">
        <v>100</v>
      </c>
      <c r="F241" s="5" t="s">
        <v>101</v>
      </c>
      <c r="G241" s="5" t="n">
        <v>19140</v>
      </c>
      <c r="H241" s="5" t="s">
        <v>46</v>
      </c>
      <c r="I241" s="5" t="s">
        <v>47</v>
      </c>
      <c r="J241" s="5" t="s">
        <v>48</v>
      </c>
      <c r="K241" s="6" t="n">
        <v>436.83</v>
      </c>
      <c r="L241" s="5" t="n">
        <v>6</v>
      </c>
      <c r="M241" s="7" t="n">
        <v>0.2</v>
      </c>
      <c r="N241" s="6" t="n">
        <v>-6.09</v>
      </c>
    </row>
    <row r="242" customFormat="false" ht="15" hidden="false" customHeight="false" outlineLevel="0" collapsed="false">
      <c r="A242" s="5" t="s">
        <v>326</v>
      </c>
      <c r="B242" s="5" t="s">
        <v>68</v>
      </c>
      <c r="C242" s="5" t="s">
        <v>69</v>
      </c>
      <c r="D242" s="5" t="s">
        <v>43</v>
      </c>
      <c r="E242" s="5" t="s">
        <v>91</v>
      </c>
      <c r="F242" s="5" t="s">
        <v>92</v>
      </c>
      <c r="G242" s="5" t="n">
        <v>33311</v>
      </c>
      <c r="H242" s="5" t="s">
        <v>53</v>
      </c>
      <c r="I242" s="5" t="s">
        <v>47</v>
      </c>
      <c r="J242" s="5" t="s">
        <v>84</v>
      </c>
      <c r="K242" s="6" t="n">
        <v>63.82</v>
      </c>
      <c r="L242" s="5" t="n">
        <v>9</v>
      </c>
      <c r="M242" s="7" t="n">
        <v>0.7</v>
      </c>
      <c r="N242" s="6" t="n">
        <v>-25.67</v>
      </c>
    </row>
    <row r="243" customFormat="false" ht="15" hidden="false" customHeight="false" outlineLevel="0" collapsed="false">
      <c r="A243" s="5" t="s">
        <v>327</v>
      </c>
      <c r="B243" s="5" t="s">
        <v>57</v>
      </c>
      <c r="C243" s="5" t="s">
        <v>69</v>
      </c>
      <c r="D243" s="5" t="s">
        <v>43</v>
      </c>
      <c r="E243" s="5" t="s">
        <v>75</v>
      </c>
      <c r="F243" s="5" t="s">
        <v>76</v>
      </c>
      <c r="G243" s="5" t="n">
        <v>60610</v>
      </c>
      <c r="H243" s="5" t="s">
        <v>64</v>
      </c>
      <c r="I243" s="5" t="s">
        <v>54</v>
      </c>
      <c r="J243" s="5" t="s">
        <v>73</v>
      </c>
      <c r="K243" s="6" t="n">
        <v>180.86</v>
      </c>
      <c r="L243" s="5" t="n">
        <v>6</v>
      </c>
      <c r="M243" s="7" t="n">
        <v>0.7</v>
      </c>
      <c r="N243" s="6" t="n">
        <v>1.4</v>
      </c>
    </row>
    <row r="244" customFormat="false" ht="15" hidden="false" customHeight="false" outlineLevel="0" collapsed="false">
      <c r="A244" s="5" t="s">
        <v>324</v>
      </c>
      <c r="B244" s="5" t="s">
        <v>83</v>
      </c>
      <c r="C244" s="5" t="s">
        <v>50</v>
      </c>
      <c r="D244" s="5" t="s">
        <v>43</v>
      </c>
      <c r="E244" s="5" t="s">
        <v>91</v>
      </c>
      <c r="F244" s="5" t="s">
        <v>92</v>
      </c>
      <c r="G244" s="5" t="n">
        <v>33311</v>
      </c>
      <c r="H244" s="5" t="s">
        <v>53</v>
      </c>
      <c r="I244" s="5" t="s">
        <v>54</v>
      </c>
      <c r="J244" s="5" t="s">
        <v>93</v>
      </c>
      <c r="K244" s="6" t="n">
        <v>242.04</v>
      </c>
      <c r="L244" s="5" t="n">
        <v>2</v>
      </c>
      <c r="M244" s="7" t="n">
        <v>0</v>
      </c>
      <c r="N244" s="6" t="n">
        <v>-1.13</v>
      </c>
    </row>
    <row r="245" customFormat="false" ht="15" hidden="false" customHeight="false" outlineLevel="0" collapsed="false">
      <c r="A245" s="5" t="s">
        <v>328</v>
      </c>
      <c r="B245" s="5" t="s">
        <v>68</v>
      </c>
      <c r="C245" s="5" t="s">
        <v>50</v>
      </c>
      <c r="D245" s="5" t="s">
        <v>43</v>
      </c>
      <c r="E245" s="5" t="s">
        <v>44</v>
      </c>
      <c r="F245" s="5" t="s">
        <v>45</v>
      </c>
      <c r="G245" s="5" t="n">
        <v>10011</v>
      </c>
      <c r="H245" s="5" t="s">
        <v>46</v>
      </c>
      <c r="I245" s="5" t="s">
        <v>65</v>
      </c>
      <c r="J245" s="5" t="s">
        <v>109</v>
      </c>
      <c r="K245" s="6" t="n">
        <v>32.42</v>
      </c>
      <c r="L245" s="5" t="n">
        <v>2</v>
      </c>
      <c r="M245" s="7" t="n">
        <v>0.2</v>
      </c>
      <c r="N245" s="6" t="n">
        <v>7.97</v>
      </c>
    </row>
    <row r="246" customFormat="false" ht="15" hidden="false" customHeight="false" outlineLevel="0" collapsed="false">
      <c r="A246" s="5" t="s">
        <v>329</v>
      </c>
      <c r="B246" s="5" t="s">
        <v>57</v>
      </c>
      <c r="C246" s="5" t="s">
        <v>42</v>
      </c>
      <c r="D246" s="5" t="s">
        <v>43</v>
      </c>
      <c r="E246" s="5" t="s">
        <v>107</v>
      </c>
      <c r="F246" s="5" t="s">
        <v>108</v>
      </c>
      <c r="G246" s="5" t="n">
        <v>7102</v>
      </c>
      <c r="H246" s="5" t="s">
        <v>46</v>
      </c>
      <c r="I246" s="5" t="s">
        <v>54</v>
      </c>
      <c r="J246" s="5" t="s">
        <v>77</v>
      </c>
      <c r="K246" s="6" t="n">
        <v>277.83</v>
      </c>
      <c r="L246" s="5" t="n">
        <v>4</v>
      </c>
      <c r="M246" s="7" t="n">
        <v>0.4</v>
      </c>
      <c r="N246" s="6" t="n">
        <v>57.1</v>
      </c>
    </row>
    <row r="247" customFormat="false" ht="15" hidden="false" customHeight="false" outlineLevel="0" collapsed="false">
      <c r="A247" s="5" t="s">
        <v>290</v>
      </c>
      <c r="B247" s="5" t="s">
        <v>57</v>
      </c>
      <c r="C247" s="5" t="s">
        <v>42</v>
      </c>
      <c r="D247" s="5" t="s">
        <v>43</v>
      </c>
      <c r="E247" s="5" t="s">
        <v>44</v>
      </c>
      <c r="F247" s="5" t="s">
        <v>45</v>
      </c>
      <c r="G247" s="5" t="n">
        <v>10011</v>
      </c>
      <c r="H247" s="5" t="s">
        <v>46</v>
      </c>
      <c r="I247" s="5" t="s">
        <v>65</v>
      </c>
      <c r="J247" s="5" t="s">
        <v>122</v>
      </c>
      <c r="K247" s="6" t="n">
        <v>99.57</v>
      </c>
      <c r="L247" s="5" t="n">
        <v>6</v>
      </c>
      <c r="M247" s="7" t="n">
        <v>0.2</v>
      </c>
      <c r="N247" s="6" t="n">
        <v>-16.39</v>
      </c>
    </row>
    <row r="248" customFormat="false" ht="15" hidden="false" customHeight="false" outlineLevel="0" collapsed="false">
      <c r="A248" s="5" t="s">
        <v>308</v>
      </c>
      <c r="B248" s="5" t="s">
        <v>83</v>
      </c>
      <c r="C248" s="5" t="s">
        <v>50</v>
      </c>
      <c r="D248" s="5" t="s">
        <v>43</v>
      </c>
      <c r="E248" s="5" t="s">
        <v>91</v>
      </c>
      <c r="F248" s="5" t="s">
        <v>92</v>
      </c>
      <c r="G248" s="5" t="n">
        <v>33311</v>
      </c>
      <c r="H248" s="5" t="s">
        <v>53</v>
      </c>
      <c r="I248" s="5" t="s">
        <v>54</v>
      </c>
      <c r="J248" s="5" t="s">
        <v>73</v>
      </c>
      <c r="K248" s="6" t="n">
        <v>219.79</v>
      </c>
      <c r="L248" s="5" t="n">
        <v>9</v>
      </c>
      <c r="M248" s="7" t="n">
        <v>0.2</v>
      </c>
      <c r="N248" s="6" t="n">
        <v>-53.17</v>
      </c>
    </row>
    <row r="249" customFormat="false" ht="15" hidden="false" customHeight="false" outlineLevel="0" collapsed="false">
      <c r="A249" s="5" t="s">
        <v>330</v>
      </c>
      <c r="B249" s="5" t="s">
        <v>83</v>
      </c>
      <c r="C249" s="5" t="s">
        <v>69</v>
      </c>
      <c r="D249" s="5" t="s">
        <v>43</v>
      </c>
      <c r="E249" s="5" t="s">
        <v>95</v>
      </c>
      <c r="F249" s="5" t="s">
        <v>96</v>
      </c>
      <c r="G249" s="5" t="n">
        <v>97206</v>
      </c>
      <c r="H249" s="5" t="s">
        <v>72</v>
      </c>
      <c r="I249" s="5" t="s">
        <v>54</v>
      </c>
      <c r="J249" s="5" t="s">
        <v>73</v>
      </c>
      <c r="K249" s="6" t="n">
        <v>205.17</v>
      </c>
      <c r="L249" s="5" t="n">
        <v>9</v>
      </c>
      <c r="M249" s="7" t="n">
        <v>0.7</v>
      </c>
      <c r="N249" s="6" t="n">
        <v>-27.4</v>
      </c>
    </row>
    <row r="250" customFormat="false" ht="15" hidden="false" customHeight="false" outlineLevel="0" collapsed="false">
      <c r="A250" s="5" t="s">
        <v>331</v>
      </c>
      <c r="B250" s="5" t="s">
        <v>83</v>
      </c>
      <c r="C250" s="5" t="s">
        <v>42</v>
      </c>
      <c r="D250" s="5" t="s">
        <v>43</v>
      </c>
      <c r="E250" s="5" t="s">
        <v>58</v>
      </c>
      <c r="F250" s="5" t="s">
        <v>59</v>
      </c>
      <c r="G250" s="5" t="n">
        <v>30318</v>
      </c>
      <c r="H250" s="5" t="s">
        <v>53</v>
      </c>
      <c r="I250" s="5" t="s">
        <v>65</v>
      </c>
      <c r="J250" s="5" t="s">
        <v>124</v>
      </c>
      <c r="K250" s="6" t="n">
        <v>68.39</v>
      </c>
      <c r="L250" s="5" t="n">
        <v>7</v>
      </c>
      <c r="M250" s="7" t="n">
        <v>0</v>
      </c>
      <c r="N250" s="6" t="n">
        <v>22.99</v>
      </c>
    </row>
    <row r="251" customFormat="false" ht="15" hidden="false" customHeight="false" outlineLevel="0" collapsed="false">
      <c r="A251" s="5" t="s">
        <v>162</v>
      </c>
      <c r="B251" s="5" t="s">
        <v>83</v>
      </c>
      <c r="C251" s="5" t="s">
        <v>42</v>
      </c>
      <c r="D251" s="5" t="s">
        <v>43</v>
      </c>
      <c r="E251" s="5" t="s">
        <v>100</v>
      </c>
      <c r="F251" s="5" t="s">
        <v>101</v>
      </c>
      <c r="G251" s="5" t="n">
        <v>19140</v>
      </c>
      <c r="H251" s="5" t="s">
        <v>46</v>
      </c>
      <c r="I251" s="5" t="s">
        <v>65</v>
      </c>
      <c r="J251" s="5" t="s">
        <v>122</v>
      </c>
      <c r="K251" s="6" t="n">
        <v>30.64</v>
      </c>
      <c r="L251" s="5" t="n">
        <v>7</v>
      </c>
      <c r="M251" s="7" t="n">
        <v>0</v>
      </c>
      <c r="N251" s="6" t="n">
        <v>12.76</v>
      </c>
    </row>
    <row r="252" customFormat="false" ht="15" hidden="false" customHeight="false" outlineLevel="0" collapsed="false">
      <c r="A252" s="5" t="s">
        <v>332</v>
      </c>
      <c r="B252" s="5" t="s">
        <v>68</v>
      </c>
      <c r="C252" s="5" t="s">
        <v>42</v>
      </c>
      <c r="D252" s="5" t="s">
        <v>43</v>
      </c>
      <c r="E252" s="5" t="s">
        <v>95</v>
      </c>
      <c r="F252" s="5" t="s">
        <v>96</v>
      </c>
      <c r="G252" s="5" t="n">
        <v>97206</v>
      </c>
      <c r="H252" s="5" t="s">
        <v>72</v>
      </c>
      <c r="I252" s="5" t="s">
        <v>54</v>
      </c>
      <c r="J252" s="5" t="s">
        <v>73</v>
      </c>
      <c r="K252" s="6" t="n">
        <v>107.64</v>
      </c>
      <c r="L252" s="5" t="n">
        <v>1</v>
      </c>
      <c r="M252" s="7" t="n">
        <v>0.4</v>
      </c>
      <c r="N252" s="6" t="n">
        <v>14.41</v>
      </c>
    </row>
    <row r="253" customFormat="false" ht="15" hidden="false" customHeight="false" outlineLevel="0" collapsed="false">
      <c r="A253" s="5" t="s">
        <v>333</v>
      </c>
      <c r="B253" s="5" t="s">
        <v>57</v>
      </c>
      <c r="C253" s="5" t="s">
        <v>69</v>
      </c>
      <c r="D253" s="5" t="s">
        <v>43</v>
      </c>
      <c r="E253" s="5" t="s">
        <v>114</v>
      </c>
      <c r="F253" s="5" t="s">
        <v>115</v>
      </c>
      <c r="G253" s="5" t="n">
        <v>90036</v>
      </c>
      <c r="H253" s="5" t="s">
        <v>72</v>
      </c>
      <c r="I253" s="5" t="s">
        <v>65</v>
      </c>
      <c r="J253" s="5" t="s">
        <v>124</v>
      </c>
      <c r="K253" s="6" t="n">
        <v>35.25</v>
      </c>
      <c r="L253" s="5" t="n">
        <v>5</v>
      </c>
      <c r="M253" s="7" t="n">
        <v>0</v>
      </c>
      <c r="N253" s="6" t="n">
        <v>12.21</v>
      </c>
    </row>
    <row r="254" customFormat="false" ht="15" hidden="false" customHeight="false" outlineLevel="0" collapsed="false">
      <c r="A254" s="5" t="s">
        <v>334</v>
      </c>
      <c r="B254" s="5" t="s">
        <v>83</v>
      </c>
      <c r="C254" s="5" t="s">
        <v>42</v>
      </c>
      <c r="D254" s="5" t="s">
        <v>43</v>
      </c>
      <c r="E254" s="5" t="s">
        <v>107</v>
      </c>
      <c r="F254" s="5" t="s">
        <v>108</v>
      </c>
      <c r="G254" s="5" t="n">
        <v>7102</v>
      </c>
      <c r="H254" s="5" t="s">
        <v>46</v>
      </c>
      <c r="I254" s="5" t="s">
        <v>65</v>
      </c>
      <c r="J254" s="5" t="s">
        <v>133</v>
      </c>
      <c r="K254" s="6" t="n">
        <v>30.51</v>
      </c>
      <c r="L254" s="5" t="n">
        <v>7</v>
      </c>
      <c r="M254" s="7" t="n">
        <v>0.15</v>
      </c>
      <c r="N254" s="6" t="n">
        <v>7.91</v>
      </c>
    </row>
    <row r="255" customFormat="false" ht="15" hidden="false" customHeight="false" outlineLevel="0" collapsed="false">
      <c r="A255" s="5" t="s">
        <v>335</v>
      </c>
      <c r="B255" s="5" t="s">
        <v>83</v>
      </c>
      <c r="C255" s="5" t="s">
        <v>42</v>
      </c>
      <c r="D255" s="5" t="s">
        <v>43</v>
      </c>
      <c r="E255" s="5" t="s">
        <v>118</v>
      </c>
      <c r="F255" s="5" t="s">
        <v>119</v>
      </c>
      <c r="G255" s="5" t="n">
        <v>98103</v>
      </c>
      <c r="H255" s="5" t="s">
        <v>72</v>
      </c>
      <c r="I255" s="5" t="s">
        <v>65</v>
      </c>
      <c r="J255" s="5" t="s">
        <v>120</v>
      </c>
      <c r="K255" s="6" t="n">
        <v>156.46</v>
      </c>
      <c r="L255" s="5" t="n">
        <v>7</v>
      </c>
      <c r="M255" s="7" t="n">
        <v>0</v>
      </c>
      <c r="N255" s="6" t="n">
        <v>55.66</v>
      </c>
    </row>
    <row r="256" customFormat="false" ht="15" hidden="false" customHeight="false" outlineLevel="0" collapsed="false">
      <c r="A256" s="5" t="s">
        <v>336</v>
      </c>
      <c r="B256" s="5" t="s">
        <v>57</v>
      </c>
      <c r="C256" s="5" t="s">
        <v>50</v>
      </c>
      <c r="D256" s="5" t="s">
        <v>43</v>
      </c>
      <c r="E256" s="5" t="s">
        <v>104</v>
      </c>
      <c r="F256" s="5" t="s">
        <v>105</v>
      </c>
      <c r="G256" s="5" t="n">
        <v>28205</v>
      </c>
      <c r="H256" s="5" t="s">
        <v>53</v>
      </c>
      <c r="I256" s="5" t="s">
        <v>54</v>
      </c>
      <c r="J256" s="5" t="s">
        <v>73</v>
      </c>
      <c r="K256" s="6" t="n">
        <v>64.34</v>
      </c>
      <c r="L256" s="5" t="n">
        <v>9</v>
      </c>
      <c r="M256" s="7" t="n">
        <v>0.15</v>
      </c>
      <c r="N256" s="6" t="n">
        <v>18.58</v>
      </c>
    </row>
    <row r="257" customFormat="false" ht="15" hidden="false" customHeight="false" outlineLevel="0" collapsed="false">
      <c r="A257" s="5" t="s">
        <v>337</v>
      </c>
      <c r="B257" s="5" t="s">
        <v>41</v>
      </c>
      <c r="C257" s="5" t="s">
        <v>42</v>
      </c>
      <c r="D257" s="5" t="s">
        <v>43</v>
      </c>
      <c r="E257" s="5" t="s">
        <v>79</v>
      </c>
      <c r="F257" s="5" t="s">
        <v>80</v>
      </c>
      <c r="G257" s="5" t="n">
        <v>2127</v>
      </c>
      <c r="H257" s="5" t="s">
        <v>46</v>
      </c>
      <c r="I257" s="5" t="s">
        <v>47</v>
      </c>
      <c r="J257" s="5" t="s">
        <v>86</v>
      </c>
      <c r="K257" s="6" t="n">
        <v>215.98</v>
      </c>
      <c r="L257" s="5" t="n">
        <v>4</v>
      </c>
      <c r="M257" s="7" t="n">
        <v>0</v>
      </c>
      <c r="N257" s="6" t="n">
        <v>4.58</v>
      </c>
    </row>
    <row r="258" customFormat="false" ht="15" hidden="false" customHeight="false" outlineLevel="0" collapsed="false">
      <c r="A258" s="5" t="s">
        <v>338</v>
      </c>
      <c r="B258" s="5" t="s">
        <v>41</v>
      </c>
      <c r="C258" s="5" t="s">
        <v>42</v>
      </c>
      <c r="D258" s="5" t="s">
        <v>43</v>
      </c>
      <c r="E258" s="5" t="s">
        <v>100</v>
      </c>
      <c r="F258" s="5" t="s">
        <v>101</v>
      </c>
      <c r="G258" s="5" t="n">
        <v>19140</v>
      </c>
      <c r="H258" s="5" t="s">
        <v>46</v>
      </c>
      <c r="I258" s="5" t="s">
        <v>54</v>
      </c>
      <c r="J258" s="5" t="s">
        <v>55</v>
      </c>
      <c r="K258" s="6" t="n">
        <v>20.58</v>
      </c>
      <c r="L258" s="5" t="n">
        <v>5</v>
      </c>
      <c r="M258" s="7" t="n">
        <v>0.2</v>
      </c>
      <c r="N258" s="6" t="n">
        <v>4.02</v>
      </c>
    </row>
    <row r="259" customFormat="false" ht="15" hidden="false" customHeight="false" outlineLevel="0" collapsed="false">
      <c r="A259" s="5" t="s">
        <v>255</v>
      </c>
      <c r="B259" s="5" t="s">
        <v>57</v>
      </c>
      <c r="C259" s="5" t="s">
        <v>50</v>
      </c>
      <c r="D259" s="5" t="s">
        <v>43</v>
      </c>
      <c r="E259" s="5" t="s">
        <v>44</v>
      </c>
      <c r="F259" s="5" t="s">
        <v>45</v>
      </c>
      <c r="G259" s="5" t="n">
        <v>10011</v>
      </c>
      <c r="H259" s="5" t="s">
        <v>46</v>
      </c>
      <c r="I259" s="5" t="s">
        <v>54</v>
      </c>
      <c r="J259" s="5" t="s">
        <v>93</v>
      </c>
      <c r="K259" s="6" t="n">
        <v>268.18</v>
      </c>
      <c r="L259" s="5" t="n">
        <v>2</v>
      </c>
      <c r="M259" s="7" t="n">
        <v>0.1</v>
      </c>
      <c r="N259" s="6" t="n">
        <v>-50.27</v>
      </c>
    </row>
    <row r="260" customFormat="false" ht="15" hidden="false" customHeight="false" outlineLevel="0" collapsed="false">
      <c r="A260" s="5" t="s">
        <v>339</v>
      </c>
      <c r="B260" s="5" t="s">
        <v>83</v>
      </c>
      <c r="C260" s="5" t="s">
        <v>69</v>
      </c>
      <c r="D260" s="5" t="s">
        <v>43</v>
      </c>
      <c r="E260" s="5" t="s">
        <v>62</v>
      </c>
      <c r="F260" s="5" t="s">
        <v>63</v>
      </c>
      <c r="G260" s="5" t="n">
        <v>77095</v>
      </c>
      <c r="H260" s="5" t="s">
        <v>64</v>
      </c>
      <c r="I260" s="5" t="s">
        <v>54</v>
      </c>
      <c r="J260" s="5" t="s">
        <v>77</v>
      </c>
      <c r="K260" s="6" t="n">
        <v>888.46</v>
      </c>
      <c r="L260" s="5" t="n">
        <v>9</v>
      </c>
      <c r="M260" s="7" t="n">
        <v>0.5</v>
      </c>
      <c r="N260" s="6" t="n">
        <v>114.03</v>
      </c>
    </row>
    <row r="261" customFormat="false" ht="15" hidden="false" customHeight="false" outlineLevel="0" collapsed="false">
      <c r="A261" s="5" t="s">
        <v>340</v>
      </c>
      <c r="B261" s="5" t="s">
        <v>57</v>
      </c>
      <c r="C261" s="5" t="s">
        <v>50</v>
      </c>
      <c r="D261" s="5" t="s">
        <v>43</v>
      </c>
      <c r="E261" s="5" t="s">
        <v>62</v>
      </c>
      <c r="F261" s="5" t="s">
        <v>63</v>
      </c>
      <c r="G261" s="5" t="n">
        <v>77095</v>
      </c>
      <c r="H261" s="5" t="s">
        <v>64</v>
      </c>
      <c r="I261" s="5" t="s">
        <v>47</v>
      </c>
      <c r="J261" s="5" t="s">
        <v>84</v>
      </c>
      <c r="K261" s="6" t="n">
        <v>195.75</v>
      </c>
      <c r="L261" s="5" t="n">
        <v>4</v>
      </c>
      <c r="M261" s="7" t="n">
        <v>0</v>
      </c>
      <c r="N261" s="6" t="n">
        <v>-8.72</v>
      </c>
    </row>
    <row r="262" customFormat="false" ht="15" hidden="false" customHeight="false" outlineLevel="0" collapsed="false">
      <c r="A262" s="5" t="s">
        <v>341</v>
      </c>
      <c r="B262" s="5" t="s">
        <v>57</v>
      </c>
      <c r="C262" s="5" t="s">
        <v>42</v>
      </c>
      <c r="D262" s="5" t="s">
        <v>43</v>
      </c>
      <c r="E262" s="5" t="s">
        <v>107</v>
      </c>
      <c r="F262" s="5" t="s">
        <v>108</v>
      </c>
      <c r="G262" s="5" t="n">
        <v>7102</v>
      </c>
      <c r="H262" s="5" t="s">
        <v>46</v>
      </c>
      <c r="I262" s="5" t="s">
        <v>54</v>
      </c>
      <c r="J262" s="5" t="s">
        <v>77</v>
      </c>
      <c r="K262" s="6" t="n">
        <v>166.73</v>
      </c>
      <c r="L262" s="5" t="n">
        <v>1</v>
      </c>
      <c r="M262" s="7" t="n">
        <v>0</v>
      </c>
      <c r="N262" s="6" t="n">
        <v>84.08</v>
      </c>
    </row>
    <row r="263" customFormat="false" ht="15" hidden="false" customHeight="false" outlineLevel="0" collapsed="false">
      <c r="A263" s="5" t="s">
        <v>342</v>
      </c>
      <c r="B263" s="5" t="s">
        <v>68</v>
      </c>
      <c r="C263" s="5" t="s">
        <v>42</v>
      </c>
      <c r="D263" s="5" t="s">
        <v>43</v>
      </c>
      <c r="E263" s="5" t="s">
        <v>70</v>
      </c>
      <c r="F263" s="5" t="s">
        <v>71</v>
      </c>
      <c r="G263" s="5" t="n">
        <v>80219</v>
      </c>
      <c r="H263" s="5" t="s">
        <v>72</v>
      </c>
      <c r="I263" s="5" t="s">
        <v>54</v>
      </c>
      <c r="J263" s="5" t="s">
        <v>77</v>
      </c>
      <c r="K263" s="6" t="n">
        <v>142.6</v>
      </c>
      <c r="L263" s="5" t="n">
        <v>8</v>
      </c>
      <c r="M263" s="7" t="n">
        <v>0</v>
      </c>
      <c r="N263" s="6" t="n">
        <v>75.45</v>
      </c>
    </row>
    <row r="264" customFormat="false" ht="15" hidden="false" customHeight="false" outlineLevel="0" collapsed="false">
      <c r="A264" s="5" t="s">
        <v>343</v>
      </c>
      <c r="B264" s="5" t="s">
        <v>41</v>
      </c>
      <c r="C264" s="5" t="s">
        <v>50</v>
      </c>
      <c r="D264" s="5" t="s">
        <v>43</v>
      </c>
      <c r="E264" s="5" t="s">
        <v>75</v>
      </c>
      <c r="F264" s="5" t="s">
        <v>76</v>
      </c>
      <c r="G264" s="5" t="n">
        <v>60610</v>
      </c>
      <c r="H264" s="5" t="s">
        <v>64</v>
      </c>
      <c r="I264" s="5" t="s">
        <v>65</v>
      </c>
      <c r="J264" s="5" t="s">
        <v>122</v>
      </c>
      <c r="K264" s="6" t="n">
        <v>57.01</v>
      </c>
      <c r="L264" s="5" t="n">
        <v>6</v>
      </c>
      <c r="M264" s="7" t="n">
        <v>0</v>
      </c>
      <c r="N264" s="6" t="n">
        <v>21.38</v>
      </c>
    </row>
    <row r="265" customFormat="false" ht="15" hidden="false" customHeight="false" outlineLevel="0" collapsed="false">
      <c r="A265" s="5" t="s">
        <v>344</v>
      </c>
      <c r="B265" s="5" t="s">
        <v>41</v>
      </c>
      <c r="C265" s="5" t="s">
        <v>69</v>
      </c>
      <c r="D265" s="5" t="s">
        <v>43</v>
      </c>
      <c r="E265" s="5" t="s">
        <v>91</v>
      </c>
      <c r="F265" s="5" t="s">
        <v>92</v>
      </c>
      <c r="G265" s="5" t="n">
        <v>33311</v>
      </c>
      <c r="H265" s="5" t="s">
        <v>53</v>
      </c>
      <c r="I265" s="5" t="s">
        <v>54</v>
      </c>
      <c r="J265" s="5" t="s">
        <v>55</v>
      </c>
      <c r="K265" s="6" t="n">
        <v>103.02</v>
      </c>
      <c r="L265" s="5" t="n">
        <v>1</v>
      </c>
      <c r="M265" s="7" t="n">
        <v>0.3</v>
      </c>
      <c r="N265" s="6" t="n">
        <v>19.66</v>
      </c>
    </row>
    <row r="266" customFormat="false" ht="15" hidden="false" customHeight="false" outlineLevel="0" collapsed="false">
      <c r="A266" s="5" t="s">
        <v>345</v>
      </c>
      <c r="B266" s="5" t="s">
        <v>41</v>
      </c>
      <c r="C266" s="5" t="s">
        <v>42</v>
      </c>
      <c r="D266" s="5" t="s">
        <v>43</v>
      </c>
      <c r="E266" s="5" t="s">
        <v>112</v>
      </c>
      <c r="F266" s="5" t="s">
        <v>63</v>
      </c>
      <c r="G266" s="5" t="n">
        <v>75217</v>
      </c>
      <c r="H266" s="5" t="s">
        <v>64</v>
      </c>
      <c r="I266" s="5" t="s">
        <v>65</v>
      </c>
      <c r="J266" s="5" t="s">
        <v>81</v>
      </c>
      <c r="K266" s="6" t="n">
        <v>179.91</v>
      </c>
      <c r="L266" s="5" t="n">
        <v>8</v>
      </c>
      <c r="M266" s="7" t="n">
        <v>0.2</v>
      </c>
      <c r="N266" s="6" t="n">
        <v>27.77</v>
      </c>
    </row>
    <row r="267" customFormat="false" ht="15" hidden="false" customHeight="false" outlineLevel="0" collapsed="false">
      <c r="A267" s="5" t="s">
        <v>346</v>
      </c>
      <c r="B267" s="5" t="s">
        <v>68</v>
      </c>
      <c r="C267" s="5" t="s">
        <v>42</v>
      </c>
      <c r="D267" s="5" t="s">
        <v>43</v>
      </c>
      <c r="E267" s="5" t="s">
        <v>104</v>
      </c>
      <c r="F267" s="5" t="s">
        <v>105</v>
      </c>
      <c r="G267" s="5" t="n">
        <v>28205</v>
      </c>
      <c r="H267" s="5" t="s">
        <v>53</v>
      </c>
      <c r="I267" s="5" t="s">
        <v>47</v>
      </c>
      <c r="J267" s="5" t="s">
        <v>86</v>
      </c>
      <c r="K267" s="6" t="n">
        <v>900.42</v>
      </c>
      <c r="L267" s="5" t="n">
        <v>5</v>
      </c>
      <c r="M267" s="7" t="n">
        <v>0.4</v>
      </c>
      <c r="N267" s="6" t="n">
        <v>-174.48</v>
      </c>
    </row>
    <row r="268" customFormat="false" ht="15" hidden="false" customHeight="false" outlineLevel="0" collapsed="false">
      <c r="A268" s="5" t="s">
        <v>347</v>
      </c>
      <c r="B268" s="5" t="s">
        <v>57</v>
      </c>
      <c r="C268" s="5" t="s">
        <v>50</v>
      </c>
      <c r="D268" s="5" t="s">
        <v>43</v>
      </c>
      <c r="E268" s="5" t="s">
        <v>62</v>
      </c>
      <c r="F268" s="5" t="s">
        <v>63</v>
      </c>
      <c r="G268" s="5" t="n">
        <v>77095</v>
      </c>
      <c r="H268" s="5" t="s">
        <v>64</v>
      </c>
      <c r="I268" s="5" t="s">
        <v>47</v>
      </c>
      <c r="J268" s="5" t="s">
        <v>48</v>
      </c>
      <c r="K268" s="6" t="n">
        <v>491.45</v>
      </c>
      <c r="L268" s="5" t="n">
        <v>5</v>
      </c>
      <c r="M268" s="7" t="n">
        <v>0.1</v>
      </c>
      <c r="N268" s="6" t="n">
        <v>8.06</v>
      </c>
    </row>
    <row r="269" customFormat="false" ht="15" hidden="false" customHeight="false" outlineLevel="0" collapsed="false">
      <c r="A269" s="5" t="s">
        <v>348</v>
      </c>
      <c r="B269" s="5" t="s">
        <v>41</v>
      </c>
      <c r="C269" s="5" t="s">
        <v>42</v>
      </c>
      <c r="D269" s="5" t="s">
        <v>43</v>
      </c>
      <c r="E269" s="5" t="s">
        <v>58</v>
      </c>
      <c r="F269" s="5" t="s">
        <v>59</v>
      </c>
      <c r="G269" s="5" t="n">
        <v>30318</v>
      </c>
      <c r="H269" s="5" t="s">
        <v>53</v>
      </c>
      <c r="I269" s="5" t="s">
        <v>47</v>
      </c>
      <c r="J269" s="5" t="s">
        <v>48</v>
      </c>
      <c r="K269" s="6" t="n">
        <v>172.28</v>
      </c>
      <c r="L269" s="5" t="n">
        <v>4</v>
      </c>
      <c r="M269" s="7" t="n">
        <v>0.15</v>
      </c>
      <c r="N269" s="6" t="n">
        <v>1.28</v>
      </c>
    </row>
    <row r="270" customFormat="false" ht="15" hidden="false" customHeight="false" outlineLevel="0" collapsed="false">
      <c r="A270" s="5" t="s">
        <v>349</v>
      </c>
      <c r="B270" s="5" t="s">
        <v>68</v>
      </c>
      <c r="C270" s="5" t="s">
        <v>69</v>
      </c>
      <c r="D270" s="5" t="s">
        <v>43</v>
      </c>
      <c r="E270" s="5" t="s">
        <v>70</v>
      </c>
      <c r="F270" s="5" t="s">
        <v>71</v>
      </c>
      <c r="G270" s="5" t="n">
        <v>80219</v>
      </c>
      <c r="H270" s="5" t="s">
        <v>72</v>
      </c>
      <c r="I270" s="5" t="s">
        <v>54</v>
      </c>
      <c r="J270" s="5" t="s">
        <v>55</v>
      </c>
      <c r="K270" s="6" t="n">
        <v>20.99</v>
      </c>
      <c r="L270" s="5" t="n">
        <v>2</v>
      </c>
      <c r="M270" s="7" t="n">
        <v>0</v>
      </c>
      <c r="N270" s="6" t="n">
        <v>8.49</v>
      </c>
    </row>
    <row r="271" customFormat="false" ht="15" hidden="false" customHeight="false" outlineLevel="0" collapsed="false">
      <c r="A271" s="5" t="s">
        <v>350</v>
      </c>
      <c r="B271" s="5" t="s">
        <v>68</v>
      </c>
      <c r="C271" s="5" t="s">
        <v>69</v>
      </c>
      <c r="D271" s="5" t="s">
        <v>43</v>
      </c>
      <c r="E271" s="5" t="s">
        <v>58</v>
      </c>
      <c r="F271" s="5" t="s">
        <v>59</v>
      </c>
      <c r="G271" s="5" t="n">
        <v>30318</v>
      </c>
      <c r="H271" s="5" t="s">
        <v>53</v>
      </c>
      <c r="I271" s="5" t="s">
        <v>47</v>
      </c>
      <c r="J271" s="5" t="s">
        <v>84</v>
      </c>
      <c r="K271" s="6" t="n">
        <v>76.04</v>
      </c>
      <c r="L271" s="5" t="n">
        <v>9</v>
      </c>
      <c r="M271" s="7" t="n">
        <v>0.2</v>
      </c>
      <c r="N271" s="6" t="n">
        <v>-9.7</v>
      </c>
    </row>
    <row r="272" customFormat="false" ht="15" hidden="false" customHeight="false" outlineLevel="0" collapsed="false">
      <c r="A272" s="5" t="s">
        <v>351</v>
      </c>
      <c r="B272" s="5" t="s">
        <v>41</v>
      </c>
      <c r="C272" s="5" t="s">
        <v>42</v>
      </c>
      <c r="D272" s="5" t="s">
        <v>43</v>
      </c>
      <c r="E272" s="5" t="s">
        <v>62</v>
      </c>
      <c r="F272" s="5" t="s">
        <v>63</v>
      </c>
      <c r="G272" s="5" t="n">
        <v>77095</v>
      </c>
      <c r="H272" s="5" t="s">
        <v>64</v>
      </c>
      <c r="I272" s="5" t="s">
        <v>47</v>
      </c>
      <c r="J272" s="5" t="s">
        <v>48</v>
      </c>
      <c r="K272" s="6" t="n">
        <v>132.54</v>
      </c>
      <c r="L272" s="5" t="n">
        <v>7</v>
      </c>
      <c r="M272" s="7" t="n">
        <v>0.1</v>
      </c>
      <c r="N272" s="6" t="n">
        <v>11.95</v>
      </c>
    </row>
    <row r="273" customFormat="false" ht="15" hidden="false" customHeight="false" outlineLevel="0" collapsed="false">
      <c r="A273" s="5" t="s">
        <v>352</v>
      </c>
      <c r="B273" s="5" t="s">
        <v>68</v>
      </c>
      <c r="C273" s="5" t="s">
        <v>69</v>
      </c>
      <c r="D273" s="5" t="s">
        <v>43</v>
      </c>
      <c r="E273" s="5" t="s">
        <v>104</v>
      </c>
      <c r="F273" s="5" t="s">
        <v>105</v>
      </c>
      <c r="G273" s="5" t="n">
        <v>28205</v>
      </c>
      <c r="H273" s="5" t="s">
        <v>53</v>
      </c>
      <c r="I273" s="5" t="s">
        <v>47</v>
      </c>
      <c r="J273" s="5" t="s">
        <v>60</v>
      </c>
      <c r="K273" s="6" t="n">
        <v>114.86</v>
      </c>
      <c r="L273" s="5" t="n">
        <v>4</v>
      </c>
      <c r="M273" s="7" t="n">
        <v>0</v>
      </c>
      <c r="N273" s="6" t="n">
        <v>22.81</v>
      </c>
    </row>
    <row r="274" customFormat="false" ht="15" hidden="false" customHeight="false" outlineLevel="0" collapsed="false">
      <c r="A274" s="5" t="s">
        <v>231</v>
      </c>
      <c r="B274" s="5" t="s">
        <v>68</v>
      </c>
      <c r="C274" s="5" t="s">
        <v>69</v>
      </c>
      <c r="D274" s="5" t="s">
        <v>43</v>
      </c>
      <c r="E274" s="5" t="s">
        <v>79</v>
      </c>
      <c r="F274" s="5" t="s">
        <v>80</v>
      </c>
      <c r="G274" s="5" t="n">
        <v>2127</v>
      </c>
      <c r="H274" s="5" t="s">
        <v>46</v>
      </c>
      <c r="I274" s="5" t="s">
        <v>47</v>
      </c>
      <c r="J274" s="5" t="s">
        <v>86</v>
      </c>
      <c r="K274" s="6" t="n">
        <v>301.51</v>
      </c>
      <c r="L274" s="5" t="n">
        <v>6</v>
      </c>
      <c r="M274" s="7" t="n">
        <v>0</v>
      </c>
      <c r="N274" s="6" t="n">
        <v>24.32</v>
      </c>
    </row>
    <row r="275" customFormat="false" ht="15" hidden="false" customHeight="false" outlineLevel="0" collapsed="false">
      <c r="A275" s="5" t="s">
        <v>353</v>
      </c>
      <c r="B275" s="5" t="s">
        <v>83</v>
      </c>
      <c r="C275" s="5" t="s">
        <v>69</v>
      </c>
      <c r="D275" s="5" t="s">
        <v>43</v>
      </c>
      <c r="E275" s="5" t="s">
        <v>114</v>
      </c>
      <c r="F275" s="5" t="s">
        <v>115</v>
      </c>
      <c r="G275" s="5" t="n">
        <v>90036</v>
      </c>
      <c r="H275" s="5" t="s">
        <v>72</v>
      </c>
      <c r="I275" s="5" t="s">
        <v>47</v>
      </c>
      <c r="J275" s="5" t="s">
        <v>60</v>
      </c>
      <c r="K275" s="6" t="n">
        <v>63.15</v>
      </c>
      <c r="L275" s="5" t="n">
        <v>7</v>
      </c>
      <c r="M275" s="7" t="n">
        <v>0</v>
      </c>
      <c r="N275" s="6" t="n">
        <v>9.23</v>
      </c>
    </row>
    <row r="276" customFormat="false" ht="15" hidden="false" customHeight="false" outlineLevel="0" collapsed="false">
      <c r="A276" s="5" t="s">
        <v>354</v>
      </c>
      <c r="B276" s="5" t="s">
        <v>41</v>
      </c>
      <c r="C276" s="5" t="s">
        <v>50</v>
      </c>
      <c r="D276" s="5" t="s">
        <v>43</v>
      </c>
      <c r="E276" s="5" t="s">
        <v>118</v>
      </c>
      <c r="F276" s="5" t="s">
        <v>119</v>
      </c>
      <c r="G276" s="5" t="n">
        <v>98103</v>
      </c>
      <c r="H276" s="5" t="s">
        <v>72</v>
      </c>
      <c r="I276" s="5" t="s">
        <v>54</v>
      </c>
      <c r="J276" s="5" t="s">
        <v>73</v>
      </c>
      <c r="K276" s="6" t="n">
        <v>254.59</v>
      </c>
      <c r="L276" s="5" t="n">
        <v>2</v>
      </c>
      <c r="M276" s="7" t="n">
        <v>0</v>
      </c>
      <c r="N276" s="6" t="n">
        <v>80.78</v>
      </c>
    </row>
    <row r="277" customFormat="false" ht="15" hidden="false" customHeight="false" outlineLevel="0" collapsed="false">
      <c r="A277" s="5" t="s">
        <v>355</v>
      </c>
      <c r="B277" s="5" t="s">
        <v>68</v>
      </c>
      <c r="C277" s="5" t="s">
        <v>50</v>
      </c>
      <c r="D277" s="5" t="s">
        <v>43</v>
      </c>
      <c r="E277" s="5" t="s">
        <v>91</v>
      </c>
      <c r="F277" s="5" t="s">
        <v>92</v>
      </c>
      <c r="G277" s="5" t="n">
        <v>33311</v>
      </c>
      <c r="H277" s="5" t="s">
        <v>53</v>
      </c>
      <c r="I277" s="5" t="s">
        <v>54</v>
      </c>
      <c r="J277" s="5" t="s">
        <v>55</v>
      </c>
      <c r="K277" s="6" t="n">
        <v>140.12</v>
      </c>
      <c r="L277" s="5" t="n">
        <v>9</v>
      </c>
      <c r="M277" s="7" t="n">
        <v>0.1</v>
      </c>
      <c r="N277" s="6" t="n">
        <v>51.56</v>
      </c>
    </row>
    <row r="278" customFormat="false" ht="15" hidden="false" customHeight="false" outlineLevel="0" collapsed="false">
      <c r="A278" s="5" t="s">
        <v>208</v>
      </c>
      <c r="B278" s="5" t="s">
        <v>68</v>
      </c>
      <c r="C278" s="5" t="s">
        <v>42</v>
      </c>
      <c r="D278" s="5" t="s">
        <v>43</v>
      </c>
      <c r="E278" s="5" t="s">
        <v>79</v>
      </c>
      <c r="F278" s="5" t="s">
        <v>80</v>
      </c>
      <c r="G278" s="5" t="n">
        <v>2127</v>
      </c>
      <c r="H278" s="5" t="s">
        <v>46</v>
      </c>
      <c r="I278" s="5" t="s">
        <v>65</v>
      </c>
      <c r="J278" s="5" t="s">
        <v>109</v>
      </c>
      <c r="K278" s="6" t="n">
        <v>25.86</v>
      </c>
      <c r="L278" s="5" t="n">
        <v>5</v>
      </c>
      <c r="M278" s="7" t="n">
        <v>0.1</v>
      </c>
      <c r="N278" s="6" t="n">
        <v>-3.32</v>
      </c>
    </row>
    <row r="279" customFormat="false" ht="15" hidden="false" customHeight="false" outlineLevel="0" collapsed="false">
      <c r="A279" s="5" t="s">
        <v>356</v>
      </c>
      <c r="B279" s="5" t="s">
        <v>83</v>
      </c>
      <c r="C279" s="5" t="s">
        <v>50</v>
      </c>
      <c r="D279" s="5" t="s">
        <v>43</v>
      </c>
      <c r="E279" s="5" t="s">
        <v>176</v>
      </c>
      <c r="F279" s="5" t="s">
        <v>177</v>
      </c>
      <c r="G279" s="5" t="n">
        <v>55407</v>
      </c>
      <c r="H279" s="5" t="s">
        <v>64</v>
      </c>
      <c r="I279" s="5" t="s">
        <v>54</v>
      </c>
      <c r="J279" s="5" t="s">
        <v>77</v>
      </c>
      <c r="K279" s="6" t="n">
        <v>111.82</v>
      </c>
      <c r="L279" s="5" t="n">
        <v>9</v>
      </c>
      <c r="M279" s="7" t="n">
        <v>0.3</v>
      </c>
      <c r="N279" s="6" t="n">
        <v>38.71</v>
      </c>
    </row>
    <row r="280" customFormat="false" ht="15" hidden="false" customHeight="false" outlineLevel="0" collapsed="false">
      <c r="A280" s="5" t="s">
        <v>357</v>
      </c>
      <c r="B280" s="5" t="s">
        <v>68</v>
      </c>
      <c r="C280" s="5" t="s">
        <v>42</v>
      </c>
      <c r="D280" s="5" t="s">
        <v>43</v>
      </c>
      <c r="E280" s="5" t="s">
        <v>79</v>
      </c>
      <c r="F280" s="5" t="s">
        <v>80</v>
      </c>
      <c r="G280" s="5" t="n">
        <v>2127</v>
      </c>
      <c r="H280" s="5" t="s">
        <v>46</v>
      </c>
      <c r="I280" s="5" t="s">
        <v>54</v>
      </c>
      <c r="J280" s="5" t="s">
        <v>93</v>
      </c>
      <c r="K280" s="6" t="n">
        <v>107.8</v>
      </c>
      <c r="L280" s="5" t="n">
        <v>9</v>
      </c>
      <c r="M280" s="7" t="n">
        <v>0</v>
      </c>
      <c r="N280" s="6" t="n">
        <v>60.33</v>
      </c>
    </row>
    <row r="281" customFormat="false" ht="15" hidden="false" customHeight="false" outlineLevel="0" collapsed="false">
      <c r="A281" s="5" t="s">
        <v>126</v>
      </c>
      <c r="B281" s="5" t="s">
        <v>41</v>
      </c>
      <c r="C281" s="5" t="s">
        <v>42</v>
      </c>
      <c r="D281" s="5" t="s">
        <v>43</v>
      </c>
      <c r="E281" s="5" t="s">
        <v>44</v>
      </c>
      <c r="F281" s="5" t="s">
        <v>45</v>
      </c>
      <c r="G281" s="5" t="n">
        <v>10011</v>
      </c>
      <c r="H281" s="5" t="s">
        <v>46</v>
      </c>
      <c r="I281" s="5" t="s">
        <v>47</v>
      </c>
      <c r="J281" s="5" t="s">
        <v>86</v>
      </c>
      <c r="K281" s="6" t="n">
        <v>201.16</v>
      </c>
      <c r="L281" s="5" t="n">
        <v>5</v>
      </c>
      <c r="M281" s="7" t="n">
        <v>0</v>
      </c>
      <c r="N281" s="6" t="n">
        <v>12.13</v>
      </c>
    </row>
    <row r="282" customFormat="false" ht="15" hidden="false" customHeight="false" outlineLevel="0" collapsed="false">
      <c r="A282" s="5" t="s">
        <v>358</v>
      </c>
      <c r="B282" s="5" t="s">
        <v>83</v>
      </c>
      <c r="C282" s="5" t="s">
        <v>42</v>
      </c>
      <c r="D282" s="5" t="s">
        <v>43</v>
      </c>
      <c r="E282" s="5" t="s">
        <v>100</v>
      </c>
      <c r="F282" s="5" t="s">
        <v>101</v>
      </c>
      <c r="G282" s="5" t="n">
        <v>19140</v>
      </c>
      <c r="H282" s="5" t="s">
        <v>46</v>
      </c>
      <c r="I282" s="5" t="s">
        <v>54</v>
      </c>
      <c r="J282" s="5" t="s">
        <v>55</v>
      </c>
      <c r="K282" s="6" t="n">
        <v>34.85</v>
      </c>
      <c r="L282" s="5" t="n">
        <v>1</v>
      </c>
      <c r="M282" s="7" t="n">
        <v>0.5</v>
      </c>
      <c r="N282" s="6" t="n">
        <v>1.1</v>
      </c>
    </row>
    <row r="283" customFormat="false" ht="15" hidden="false" customHeight="false" outlineLevel="0" collapsed="false">
      <c r="A283" s="5" t="s">
        <v>49</v>
      </c>
      <c r="B283" s="5" t="s">
        <v>41</v>
      </c>
      <c r="C283" s="5" t="s">
        <v>50</v>
      </c>
      <c r="D283" s="5" t="s">
        <v>43</v>
      </c>
      <c r="E283" s="5" t="s">
        <v>51</v>
      </c>
      <c r="F283" s="5" t="s">
        <v>52</v>
      </c>
      <c r="G283" s="5" t="n">
        <v>37211</v>
      </c>
      <c r="H283" s="5" t="s">
        <v>53</v>
      </c>
      <c r="I283" s="5" t="s">
        <v>54</v>
      </c>
      <c r="J283" s="5" t="s">
        <v>73</v>
      </c>
      <c r="K283" s="6" t="n">
        <v>46.52</v>
      </c>
      <c r="L283" s="5" t="n">
        <v>4</v>
      </c>
      <c r="M283" s="7" t="n">
        <v>0</v>
      </c>
      <c r="N283" s="6" t="n">
        <v>20.39</v>
      </c>
    </row>
    <row r="284" customFormat="false" ht="15" hidden="false" customHeight="false" outlineLevel="0" collapsed="false">
      <c r="A284" s="5" t="s">
        <v>270</v>
      </c>
      <c r="B284" s="5" t="s">
        <v>83</v>
      </c>
      <c r="C284" s="5" t="s">
        <v>69</v>
      </c>
      <c r="D284" s="5" t="s">
        <v>43</v>
      </c>
      <c r="E284" s="5" t="s">
        <v>91</v>
      </c>
      <c r="F284" s="5" t="s">
        <v>92</v>
      </c>
      <c r="G284" s="5" t="n">
        <v>33311</v>
      </c>
      <c r="H284" s="5" t="s">
        <v>53</v>
      </c>
      <c r="I284" s="5" t="s">
        <v>54</v>
      </c>
      <c r="J284" s="5" t="s">
        <v>93</v>
      </c>
      <c r="K284" s="6" t="n">
        <v>87.42</v>
      </c>
      <c r="L284" s="5" t="n">
        <v>6</v>
      </c>
      <c r="M284" s="7" t="n">
        <v>0.7</v>
      </c>
      <c r="N284" s="6" t="n">
        <v>-23.96</v>
      </c>
    </row>
    <row r="285" customFormat="false" ht="15" hidden="false" customHeight="false" outlineLevel="0" collapsed="false">
      <c r="A285" s="5" t="s">
        <v>256</v>
      </c>
      <c r="B285" s="5" t="s">
        <v>41</v>
      </c>
      <c r="C285" s="5" t="s">
        <v>50</v>
      </c>
      <c r="D285" s="5" t="s">
        <v>43</v>
      </c>
      <c r="E285" s="5" t="s">
        <v>112</v>
      </c>
      <c r="F285" s="5" t="s">
        <v>63</v>
      </c>
      <c r="G285" s="5" t="n">
        <v>75217</v>
      </c>
      <c r="H285" s="5" t="s">
        <v>64</v>
      </c>
      <c r="I285" s="5" t="s">
        <v>54</v>
      </c>
      <c r="J285" s="5" t="s">
        <v>73</v>
      </c>
      <c r="K285" s="6" t="n">
        <v>562.9</v>
      </c>
      <c r="L285" s="5" t="n">
        <v>9</v>
      </c>
      <c r="M285" s="7" t="n">
        <v>0.2</v>
      </c>
      <c r="N285" s="6" t="n">
        <v>125.45</v>
      </c>
    </row>
    <row r="286" customFormat="false" ht="15" hidden="false" customHeight="false" outlineLevel="0" collapsed="false">
      <c r="A286" s="5" t="s">
        <v>359</v>
      </c>
      <c r="B286" s="5" t="s">
        <v>41</v>
      </c>
      <c r="C286" s="5" t="s">
        <v>50</v>
      </c>
      <c r="D286" s="5" t="s">
        <v>43</v>
      </c>
      <c r="E286" s="5" t="s">
        <v>176</v>
      </c>
      <c r="F286" s="5" t="s">
        <v>177</v>
      </c>
      <c r="G286" s="5" t="n">
        <v>55407</v>
      </c>
      <c r="H286" s="5" t="s">
        <v>64</v>
      </c>
      <c r="I286" s="5" t="s">
        <v>65</v>
      </c>
      <c r="J286" s="5" t="s">
        <v>138</v>
      </c>
      <c r="K286" s="6" t="n">
        <v>102.37</v>
      </c>
      <c r="L286" s="5" t="n">
        <v>3</v>
      </c>
      <c r="M286" s="7" t="n">
        <v>0.15</v>
      </c>
      <c r="N286" s="6" t="n">
        <v>16.51</v>
      </c>
    </row>
    <row r="287" customFormat="false" ht="15" hidden="false" customHeight="false" outlineLevel="0" collapsed="false">
      <c r="A287" s="5" t="s">
        <v>360</v>
      </c>
      <c r="B287" s="5" t="s">
        <v>57</v>
      </c>
      <c r="C287" s="5" t="s">
        <v>42</v>
      </c>
      <c r="D287" s="5" t="s">
        <v>43</v>
      </c>
      <c r="E287" s="5" t="s">
        <v>114</v>
      </c>
      <c r="F287" s="5" t="s">
        <v>115</v>
      </c>
      <c r="G287" s="5" t="n">
        <v>90036</v>
      </c>
      <c r="H287" s="5" t="s">
        <v>72</v>
      </c>
      <c r="I287" s="5" t="s">
        <v>47</v>
      </c>
      <c r="J287" s="5" t="s">
        <v>84</v>
      </c>
      <c r="K287" s="6" t="n">
        <v>150.2</v>
      </c>
      <c r="L287" s="5" t="n">
        <v>9</v>
      </c>
      <c r="M287" s="7" t="n">
        <v>0.2</v>
      </c>
      <c r="N287" s="6" t="n">
        <v>-16.73</v>
      </c>
    </row>
    <row r="288" customFormat="false" ht="15" hidden="false" customHeight="false" outlineLevel="0" collapsed="false">
      <c r="A288" s="5" t="s">
        <v>361</v>
      </c>
      <c r="B288" s="5" t="s">
        <v>41</v>
      </c>
      <c r="C288" s="5" t="s">
        <v>50</v>
      </c>
      <c r="D288" s="5" t="s">
        <v>43</v>
      </c>
      <c r="E288" s="5" t="s">
        <v>51</v>
      </c>
      <c r="F288" s="5" t="s">
        <v>52</v>
      </c>
      <c r="G288" s="5" t="n">
        <v>37211</v>
      </c>
      <c r="H288" s="5" t="s">
        <v>53</v>
      </c>
      <c r="I288" s="5" t="s">
        <v>65</v>
      </c>
      <c r="J288" s="5" t="s">
        <v>81</v>
      </c>
      <c r="K288" s="6" t="n">
        <v>46.3</v>
      </c>
      <c r="L288" s="5" t="n">
        <v>5</v>
      </c>
      <c r="M288" s="7" t="n">
        <v>0</v>
      </c>
      <c r="N288" s="6" t="n">
        <v>15.16</v>
      </c>
    </row>
    <row r="289" customFormat="false" ht="15" hidden="false" customHeight="false" outlineLevel="0" collapsed="false">
      <c r="A289" s="5" t="s">
        <v>362</v>
      </c>
      <c r="B289" s="5" t="s">
        <v>68</v>
      </c>
      <c r="C289" s="5" t="s">
        <v>69</v>
      </c>
      <c r="D289" s="5" t="s">
        <v>43</v>
      </c>
      <c r="E289" s="5" t="s">
        <v>100</v>
      </c>
      <c r="F289" s="5" t="s">
        <v>101</v>
      </c>
      <c r="G289" s="5" t="n">
        <v>19140</v>
      </c>
      <c r="H289" s="5" t="s">
        <v>46</v>
      </c>
      <c r="I289" s="5" t="s">
        <v>54</v>
      </c>
      <c r="J289" s="5" t="s">
        <v>77</v>
      </c>
      <c r="K289" s="6" t="n">
        <v>24.28</v>
      </c>
      <c r="L289" s="5" t="n">
        <v>8</v>
      </c>
      <c r="M289" s="7" t="n">
        <v>0.2</v>
      </c>
      <c r="N289" s="6" t="n">
        <v>8.53</v>
      </c>
    </row>
    <row r="290" customFormat="false" ht="15" hidden="false" customHeight="false" outlineLevel="0" collapsed="false">
      <c r="A290" s="5" t="s">
        <v>363</v>
      </c>
      <c r="B290" s="5" t="s">
        <v>83</v>
      </c>
      <c r="C290" s="5" t="s">
        <v>42</v>
      </c>
      <c r="D290" s="5" t="s">
        <v>43</v>
      </c>
      <c r="E290" s="5" t="s">
        <v>62</v>
      </c>
      <c r="F290" s="5" t="s">
        <v>63</v>
      </c>
      <c r="G290" s="5" t="n">
        <v>77095</v>
      </c>
      <c r="H290" s="5" t="s">
        <v>64</v>
      </c>
      <c r="I290" s="5" t="s">
        <v>54</v>
      </c>
      <c r="J290" s="5" t="s">
        <v>55</v>
      </c>
      <c r="K290" s="6" t="n">
        <v>73.29</v>
      </c>
      <c r="L290" s="5" t="n">
        <v>8</v>
      </c>
      <c r="M290" s="7" t="n">
        <v>0</v>
      </c>
      <c r="N290" s="6" t="n">
        <v>31.42</v>
      </c>
    </row>
    <row r="291" customFormat="false" ht="15" hidden="false" customHeight="false" outlineLevel="0" collapsed="false">
      <c r="A291" s="5" t="s">
        <v>364</v>
      </c>
      <c r="B291" s="5" t="s">
        <v>83</v>
      </c>
      <c r="C291" s="5" t="s">
        <v>42</v>
      </c>
      <c r="D291" s="5" t="s">
        <v>43</v>
      </c>
      <c r="E291" s="5" t="s">
        <v>79</v>
      </c>
      <c r="F291" s="5" t="s">
        <v>80</v>
      </c>
      <c r="G291" s="5" t="n">
        <v>2127</v>
      </c>
      <c r="H291" s="5" t="s">
        <v>46</v>
      </c>
      <c r="I291" s="5" t="s">
        <v>54</v>
      </c>
      <c r="J291" s="5" t="s">
        <v>77</v>
      </c>
      <c r="K291" s="6" t="n">
        <v>123.33</v>
      </c>
      <c r="L291" s="5" t="n">
        <v>4</v>
      </c>
      <c r="M291" s="7" t="n">
        <v>0</v>
      </c>
      <c r="N291" s="6" t="n">
        <v>59.78</v>
      </c>
    </row>
    <row r="292" customFormat="false" ht="15" hidden="false" customHeight="false" outlineLevel="0" collapsed="false">
      <c r="A292" s="5" t="s">
        <v>365</v>
      </c>
      <c r="B292" s="5" t="s">
        <v>41</v>
      </c>
      <c r="C292" s="5" t="s">
        <v>50</v>
      </c>
      <c r="D292" s="5" t="s">
        <v>43</v>
      </c>
      <c r="E292" s="5" t="s">
        <v>176</v>
      </c>
      <c r="F292" s="5" t="s">
        <v>177</v>
      </c>
      <c r="G292" s="5" t="n">
        <v>55407</v>
      </c>
      <c r="H292" s="5" t="s">
        <v>64</v>
      </c>
      <c r="I292" s="5" t="s">
        <v>54</v>
      </c>
      <c r="J292" s="5" t="s">
        <v>93</v>
      </c>
      <c r="K292" s="6" t="n">
        <v>126.65</v>
      </c>
      <c r="L292" s="5" t="n">
        <v>8</v>
      </c>
      <c r="M292" s="7" t="n">
        <v>0.2</v>
      </c>
      <c r="N292" s="6" t="n">
        <v>52.69</v>
      </c>
    </row>
    <row r="293" customFormat="false" ht="15" hidden="false" customHeight="false" outlineLevel="0" collapsed="false">
      <c r="A293" s="5" t="s">
        <v>366</v>
      </c>
      <c r="B293" s="5" t="s">
        <v>68</v>
      </c>
      <c r="C293" s="5" t="s">
        <v>42</v>
      </c>
      <c r="D293" s="5" t="s">
        <v>43</v>
      </c>
      <c r="E293" s="5" t="s">
        <v>107</v>
      </c>
      <c r="F293" s="5" t="s">
        <v>108</v>
      </c>
      <c r="G293" s="5" t="n">
        <v>7102</v>
      </c>
      <c r="H293" s="5" t="s">
        <v>46</v>
      </c>
      <c r="I293" s="5" t="s">
        <v>65</v>
      </c>
      <c r="J293" s="5" t="s">
        <v>66</v>
      </c>
      <c r="K293" s="6" t="n">
        <v>34.93</v>
      </c>
      <c r="L293" s="5" t="n">
        <v>7</v>
      </c>
      <c r="M293" s="7" t="n">
        <v>0.7</v>
      </c>
      <c r="N293" s="6" t="n">
        <v>-5.35</v>
      </c>
    </row>
    <row r="294" customFormat="false" ht="15" hidden="false" customHeight="false" outlineLevel="0" collapsed="false">
      <c r="A294" s="5" t="s">
        <v>367</v>
      </c>
      <c r="B294" s="5" t="s">
        <v>57</v>
      </c>
      <c r="C294" s="5" t="s">
        <v>69</v>
      </c>
      <c r="D294" s="5" t="s">
        <v>43</v>
      </c>
      <c r="E294" s="5" t="s">
        <v>112</v>
      </c>
      <c r="F294" s="5" t="s">
        <v>63</v>
      </c>
      <c r="G294" s="5" t="n">
        <v>75217</v>
      </c>
      <c r="H294" s="5" t="s">
        <v>64</v>
      </c>
      <c r="I294" s="5" t="s">
        <v>65</v>
      </c>
      <c r="J294" s="5" t="s">
        <v>66</v>
      </c>
      <c r="K294" s="6" t="n">
        <v>139.8</v>
      </c>
      <c r="L294" s="5" t="n">
        <v>2</v>
      </c>
      <c r="M294" s="7" t="n">
        <v>0.2</v>
      </c>
      <c r="N294" s="6" t="n">
        <v>14.07</v>
      </c>
    </row>
    <row r="295" customFormat="false" ht="15" hidden="false" customHeight="false" outlineLevel="0" collapsed="false">
      <c r="A295" s="5" t="s">
        <v>368</v>
      </c>
      <c r="B295" s="5" t="s">
        <v>57</v>
      </c>
      <c r="C295" s="5" t="s">
        <v>69</v>
      </c>
      <c r="D295" s="5" t="s">
        <v>43</v>
      </c>
      <c r="E295" s="5" t="s">
        <v>104</v>
      </c>
      <c r="F295" s="5" t="s">
        <v>105</v>
      </c>
      <c r="G295" s="5" t="n">
        <v>28205</v>
      </c>
      <c r="H295" s="5" t="s">
        <v>53</v>
      </c>
      <c r="I295" s="5" t="s">
        <v>54</v>
      </c>
      <c r="J295" s="5" t="s">
        <v>93</v>
      </c>
      <c r="K295" s="6" t="n">
        <v>161.23</v>
      </c>
      <c r="L295" s="5" t="n">
        <v>8</v>
      </c>
      <c r="M295" s="7" t="n">
        <v>0</v>
      </c>
      <c r="N295" s="6" t="n">
        <v>86.19</v>
      </c>
    </row>
    <row r="296" customFormat="false" ht="15" hidden="false" customHeight="false" outlineLevel="0" collapsed="false">
      <c r="A296" s="5" t="s">
        <v>369</v>
      </c>
      <c r="B296" s="5" t="s">
        <v>83</v>
      </c>
      <c r="C296" s="5" t="s">
        <v>50</v>
      </c>
      <c r="D296" s="5" t="s">
        <v>43</v>
      </c>
      <c r="E296" s="5" t="s">
        <v>95</v>
      </c>
      <c r="F296" s="5" t="s">
        <v>96</v>
      </c>
      <c r="G296" s="5" t="n">
        <v>97206</v>
      </c>
      <c r="H296" s="5" t="s">
        <v>72</v>
      </c>
      <c r="I296" s="5" t="s">
        <v>47</v>
      </c>
      <c r="J296" s="5" t="s">
        <v>60</v>
      </c>
      <c r="K296" s="6" t="n">
        <v>638.97</v>
      </c>
      <c r="L296" s="5" t="n">
        <v>9</v>
      </c>
      <c r="M296" s="7" t="n">
        <v>0.2</v>
      </c>
      <c r="N296" s="6" t="n">
        <v>43.75</v>
      </c>
    </row>
    <row r="297" customFormat="false" ht="15" hidden="false" customHeight="false" outlineLevel="0" collapsed="false">
      <c r="A297" s="5" t="s">
        <v>370</v>
      </c>
      <c r="B297" s="5" t="s">
        <v>68</v>
      </c>
      <c r="C297" s="5" t="s">
        <v>50</v>
      </c>
      <c r="D297" s="5" t="s">
        <v>43</v>
      </c>
      <c r="E297" s="5" t="s">
        <v>112</v>
      </c>
      <c r="F297" s="5" t="s">
        <v>63</v>
      </c>
      <c r="G297" s="5" t="n">
        <v>75217</v>
      </c>
      <c r="H297" s="5" t="s">
        <v>64</v>
      </c>
      <c r="I297" s="5" t="s">
        <v>54</v>
      </c>
      <c r="J297" s="5" t="s">
        <v>93</v>
      </c>
      <c r="K297" s="6" t="n">
        <v>66.25</v>
      </c>
      <c r="L297" s="5" t="n">
        <v>6</v>
      </c>
      <c r="M297" s="7" t="n">
        <v>0.4</v>
      </c>
      <c r="N297" s="6" t="n">
        <v>14.65</v>
      </c>
    </row>
    <row r="298" customFormat="false" ht="15" hidden="false" customHeight="false" outlineLevel="0" collapsed="false">
      <c r="A298" s="5" t="s">
        <v>371</v>
      </c>
      <c r="B298" s="5" t="s">
        <v>83</v>
      </c>
      <c r="C298" s="5" t="s">
        <v>50</v>
      </c>
      <c r="D298" s="5" t="s">
        <v>43</v>
      </c>
      <c r="E298" s="5" t="s">
        <v>100</v>
      </c>
      <c r="F298" s="5" t="s">
        <v>101</v>
      </c>
      <c r="G298" s="5" t="n">
        <v>19140</v>
      </c>
      <c r="H298" s="5" t="s">
        <v>46</v>
      </c>
      <c r="I298" s="5" t="s">
        <v>47</v>
      </c>
      <c r="J298" s="5" t="s">
        <v>86</v>
      </c>
      <c r="K298" s="6" t="n">
        <v>276.85</v>
      </c>
      <c r="L298" s="5" t="n">
        <v>1</v>
      </c>
      <c r="M298" s="7" t="n">
        <v>0.2</v>
      </c>
      <c r="N298" s="6" t="n">
        <v>-20.51</v>
      </c>
    </row>
    <row r="299" customFormat="false" ht="15" hidden="false" customHeight="false" outlineLevel="0" collapsed="false">
      <c r="A299" s="5" t="s">
        <v>372</v>
      </c>
      <c r="B299" s="5" t="s">
        <v>41</v>
      </c>
      <c r="C299" s="5" t="s">
        <v>50</v>
      </c>
      <c r="D299" s="5" t="s">
        <v>43</v>
      </c>
      <c r="E299" s="5" t="s">
        <v>95</v>
      </c>
      <c r="F299" s="5" t="s">
        <v>96</v>
      </c>
      <c r="G299" s="5" t="n">
        <v>97206</v>
      </c>
      <c r="H299" s="5" t="s">
        <v>72</v>
      </c>
      <c r="I299" s="5" t="s">
        <v>47</v>
      </c>
      <c r="J299" s="5" t="s">
        <v>60</v>
      </c>
      <c r="K299" s="6" t="n">
        <v>33.8</v>
      </c>
      <c r="L299" s="5" t="n">
        <v>6</v>
      </c>
      <c r="M299" s="7" t="n">
        <v>0.15</v>
      </c>
      <c r="N299" s="6" t="n">
        <v>-0.41</v>
      </c>
    </row>
    <row r="300" customFormat="false" ht="15" hidden="false" customHeight="false" outlineLevel="0" collapsed="false">
      <c r="A300" s="5" t="s">
        <v>373</v>
      </c>
      <c r="B300" s="5" t="s">
        <v>68</v>
      </c>
      <c r="C300" s="5" t="s">
        <v>42</v>
      </c>
      <c r="D300" s="5" t="s">
        <v>43</v>
      </c>
      <c r="E300" s="5" t="s">
        <v>176</v>
      </c>
      <c r="F300" s="5" t="s">
        <v>177</v>
      </c>
      <c r="G300" s="5" t="n">
        <v>55407</v>
      </c>
      <c r="H300" s="5" t="s">
        <v>64</v>
      </c>
      <c r="I300" s="5" t="s">
        <v>54</v>
      </c>
      <c r="J300" s="5" t="s">
        <v>73</v>
      </c>
      <c r="K300" s="6" t="n">
        <v>91.38</v>
      </c>
      <c r="L300" s="5" t="n">
        <v>8</v>
      </c>
      <c r="M300" s="7" t="n">
        <v>0.7</v>
      </c>
      <c r="N300" s="6" t="n">
        <v>-7.67</v>
      </c>
    </row>
    <row r="301" customFormat="false" ht="15" hidden="false" customHeight="false" outlineLevel="0" collapsed="false">
      <c r="A301" s="5" t="s">
        <v>374</v>
      </c>
      <c r="B301" s="5" t="s">
        <v>68</v>
      </c>
      <c r="C301" s="5" t="s">
        <v>42</v>
      </c>
      <c r="D301" s="5" t="s">
        <v>43</v>
      </c>
      <c r="E301" s="5" t="s">
        <v>75</v>
      </c>
      <c r="F301" s="5" t="s">
        <v>76</v>
      </c>
      <c r="G301" s="5" t="n">
        <v>60610</v>
      </c>
      <c r="H301" s="5" t="s">
        <v>64</v>
      </c>
      <c r="I301" s="5" t="s">
        <v>65</v>
      </c>
      <c r="J301" s="5" t="s">
        <v>88</v>
      </c>
      <c r="K301" s="6" t="n">
        <v>68.56</v>
      </c>
      <c r="L301" s="5" t="n">
        <v>6</v>
      </c>
      <c r="M301" s="7" t="n">
        <v>0.2</v>
      </c>
      <c r="N301" s="6" t="n">
        <v>9.98</v>
      </c>
    </row>
    <row r="302" customFormat="false" ht="15" hidden="false" customHeight="false" outlineLevel="0" collapsed="false">
      <c r="A302" s="5" t="s">
        <v>281</v>
      </c>
      <c r="B302" s="5" t="s">
        <v>57</v>
      </c>
      <c r="C302" s="5" t="s">
        <v>42</v>
      </c>
      <c r="D302" s="5" t="s">
        <v>43</v>
      </c>
      <c r="E302" s="5" t="s">
        <v>75</v>
      </c>
      <c r="F302" s="5" t="s">
        <v>76</v>
      </c>
      <c r="G302" s="5" t="n">
        <v>60610</v>
      </c>
      <c r="H302" s="5" t="s">
        <v>64</v>
      </c>
      <c r="I302" s="5" t="s">
        <v>47</v>
      </c>
      <c r="J302" s="5" t="s">
        <v>86</v>
      </c>
      <c r="K302" s="6" t="n">
        <v>8.28</v>
      </c>
      <c r="L302" s="5" t="n">
        <v>6</v>
      </c>
      <c r="M302" s="7" t="n">
        <v>0</v>
      </c>
      <c r="N302" s="6" t="n">
        <v>0.88</v>
      </c>
    </row>
    <row r="303" customFormat="false" ht="15" hidden="false" customHeight="false" outlineLevel="0" collapsed="false">
      <c r="A303" s="5" t="s">
        <v>375</v>
      </c>
      <c r="B303" s="5" t="s">
        <v>68</v>
      </c>
      <c r="C303" s="5" t="s">
        <v>50</v>
      </c>
      <c r="D303" s="5" t="s">
        <v>43</v>
      </c>
      <c r="E303" s="5" t="s">
        <v>100</v>
      </c>
      <c r="F303" s="5" t="s">
        <v>101</v>
      </c>
      <c r="G303" s="5" t="n">
        <v>19140</v>
      </c>
      <c r="H303" s="5" t="s">
        <v>46</v>
      </c>
      <c r="I303" s="5" t="s">
        <v>65</v>
      </c>
      <c r="J303" s="5" t="s">
        <v>124</v>
      </c>
      <c r="K303" s="6" t="n">
        <v>53.1</v>
      </c>
      <c r="L303" s="5" t="n">
        <v>3</v>
      </c>
      <c r="M303" s="7" t="n">
        <v>0</v>
      </c>
      <c r="N303" s="6" t="n">
        <v>19.58</v>
      </c>
    </row>
    <row r="304" customFormat="false" ht="15" hidden="false" customHeight="false" outlineLevel="0" collapsed="false">
      <c r="A304" s="5" t="s">
        <v>376</v>
      </c>
      <c r="B304" s="5" t="s">
        <v>68</v>
      </c>
      <c r="C304" s="5" t="s">
        <v>69</v>
      </c>
      <c r="D304" s="5" t="s">
        <v>43</v>
      </c>
      <c r="E304" s="5" t="s">
        <v>112</v>
      </c>
      <c r="F304" s="5" t="s">
        <v>63</v>
      </c>
      <c r="G304" s="5" t="n">
        <v>75217</v>
      </c>
      <c r="H304" s="5" t="s">
        <v>64</v>
      </c>
      <c r="I304" s="5" t="s">
        <v>65</v>
      </c>
      <c r="J304" s="5" t="s">
        <v>120</v>
      </c>
      <c r="K304" s="6" t="n">
        <v>15.89</v>
      </c>
      <c r="L304" s="5" t="n">
        <v>4</v>
      </c>
      <c r="M304" s="7" t="n">
        <v>0.7</v>
      </c>
      <c r="N304" s="6" t="n">
        <v>-1.1</v>
      </c>
    </row>
    <row r="305" customFormat="false" ht="15" hidden="false" customHeight="false" outlineLevel="0" collapsed="false">
      <c r="A305" s="5" t="s">
        <v>377</v>
      </c>
      <c r="B305" s="5" t="s">
        <v>41</v>
      </c>
      <c r="C305" s="5" t="s">
        <v>42</v>
      </c>
      <c r="D305" s="5" t="s">
        <v>43</v>
      </c>
      <c r="E305" s="5" t="s">
        <v>44</v>
      </c>
      <c r="F305" s="5" t="s">
        <v>45</v>
      </c>
      <c r="G305" s="5" t="n">
        <v>10011</v>
      </c>
      <c r="H305" s="5" t="s">
        <v>46</v>
      </c>
      <c r="I305" s="5" t="s">
        <v>65</v>
      </c>
      <c r="J305" s="5" t="s">
        <v>124</v>
      </c>
      <c r="K305" s="6" t="n">
        <v>33.92</v>
      </c>
      <c r="L305" s="5" t="n">
        <v>8</v>
      </c>
      <c r="M305" s="7" t="n">
        <v>0.1</v>
      </c>
      <c r="N305" s="6" t="n">
        <v>7.23</v>
      </c>
    </row>
    <row r="306" customFormat="false" ht="15" hidden="false" customHeight="false" outlineLevel="0" collapsed="false">
      <c r="A306" s="5" t="s">
        <v>378</v>
      </c>
      <c r="B306" s="5" t="s">
        <v>68</v>
      </c>
      <c r="C306" s="5" t="s">
        <v>50</v>
      </c>
      <c r="D306" s="5" t="s">
        <v>43</v>
      </c>
      <c r="E306" s="5" t="s">
        <v>70</v>
      </c>
      <c r="F306" s="5" t="s">
        <v>71</v>
      </c>
      <c r="G306" s="5" t="n">
        <v>80219</v>
      </c>
      <c r="H306" s="5" t="s">
        <v>72</v>
      </c>
      <c r="I306" s="5" t="s">
        <v>65</v>
      </c>
      <c r="J306" s="5" t="s">
        <v>120</v>
      </c>
      <c r="K306" s="6" t="n">
        <v>36.94</v>
      </c>
      <c r="L306" s="5" t="n">
        <v>6</v>
      </c>
      <c r="M306" s="7" t="n">
        <v>0.2</v>
      </c>
      <c r="N306" s="6" t="n">
        <v>5.44</v>
      </c>
    </row>
    <row r="307" customFormat="false" ht="15" hidden="false" customHeight="false" outlineLevel="0" collapsed="false">
      <c r="A307" s="5" t="s">
        <v>379</v>
      </c>
      <c r="B307" s="5" t="s">
        <v>41</v>
      </c>
      <c r="C307" s="5" t="s">
        <v>50</v>
      </c>
      <c r="D307" s="5" t="s">
        <v>43</v>
      </c>
      <c r="E307" s="5" t="s">
        <v>104</v>
      </c>
      <c r="F307" s="5" t="s">
        <v>105</v>
      </c>
      <c r="G307" s="5" t="n">
        <v>28205</v>
      </c>
      <c r="H307" s="5" t="s">
        <v>53</v>
      </c>
      <c r="I307" s="5" t="s">
        <v>54</v>
      </c>
      <c r="J307" s="5" t="s">
        <v>55</v>
      </c>
      <c r="K307" s="6" t="n">
        <v>182.85</v>
      </c>
      <c r="L307" s="5" t="n">
        <v>9</v>
      </c>
      <c r="M307" s="7" t="n">
        <v>0.1</v>
      </c>
      <c r="N307" s="6" t="n">
        <v>46.65</v>
      </c>
    </row>
    <row r="308" customFormat="false" ht="15" hidden="false" customHeight="false" outlineLevel="0" collapsed="false">
      <c r="A308" s="5" t="s">
        <v>380</v>
      </c>
      <c r="B308" s="5" t="s">
        <v>41</v>
      </c>
      <c r="C308" s="5" t="s">
        <v>50</v>
      </c>
      <c r="D308" s="5" t="s">
        <v>43</v>
      </c>
      <c r="E308" s="5" t="s">
        <v>112</v>
      </c>
      <c r="F308" s="5" t="s">
        <v>63</v>
      </c>
      <c r="G308" s="5" t="n">
        <v>75217</v>
      </c>
      <c r="H308" s="5" t="s">
        <v>64</v>
      </c>
      <c r="I308" s="5" t="s">
        <v>65</v>
      </c>
      <c r="J308" s="5" t="s">
        <v>66</v>
      </c>
      <c r="K308" s="6" t="n">
        <v>50.22</v>
      </c>
      <c r="L308" s="5" t="n">
        <v>8</v>
      </c>
      <c r="M308" s="7" t="n">
        <v>0.7</v>
      </c>
      <c r="N308" s="6" t="n">
        <v>-6.57</v>
      </c>
    </row>
    <row r="309" customFormat="false" ht="15" hidden="false" customHeight="false" outlineLevel="0" collapsed="false">
      <c r="A309" s="5" t="s">
        <v>249</v>
      </c>
      <c r="B309" s="5" t="s">
        <v>57</v>
      </c>
      <c r="C309" s="5" t="s">
        <v>50</v>
      </c>
      <c r="D309" s="5" t="s">
        <v>43</v>
      </c>
      <c r="E309" s="5" t="s">
        <v>107</v>
      </c>
      <c r="F309" s="5" t="s">
        <v>108</v>
      </c>
      <c r="G309" s="5" t="n">
        <v>7102</v>
      </c>
      <c r="H309" s="5" t="s">
        <v>46</v>
      </c>
      <c r="I309" s="5" t="s">
        <v>65</v>
      </c>
      <c r="J309" s="5" t="s">
        <v>120</v>
      </c>
      <c r="K309" s="6" t="n">
        <v>40.08</v>
      </c>
      <c r="L309" s="5" t="n">
        <v>4</v>
      </c>
      <c r="M309" s="7" t="n">
        <v>0</v>
      </c>
      <c r="N309" s="6" t="n">
        <v>-1.9</v>
      </c>
    </row>
    <row r="310" customFormat="false" ht="15" hidden="false" customHeight="false" outlineLevel="0" collapsed="false">
      <c r="A310" s="5" t="s">
        <v>381</v>
      </c>
      <c r="B310" s="5" t="s">
        <v>68</v>
      </c>
      <c r="C310" s="5" t="s">
        <v>50</v>
      </c>
      <c r="D310" s="5" t="s">
        <v>43</v>
      </c>
      <c r="E310" s="5" t="s">
        <v>95</v>
      </c>
      <c r="F310" s="5" t="s">
        <v>96</v>
      </c>
      <c r="G310" s="5" t="n">
        <v>97206</v>
      </c>
      <c r="H310" s="5" t="s">
        <v>72</v>
      </c>
      <c r="I310" s="5" t="s">
        <v>47</v>
      </c>
      <c r="J310" s="5" t="s">
        <v>60</v>
      </c>
      <c r="K310" s="6" t="n">
        <v>171.13</v>
      </c>
      <c r="L310" s="5" t="n">
        <v>8</v>
      </c>
      <c r="M310" s="7" t="n">
        <v>0.4</v>
      </c>
      <c r="N310" s="6" t="n">
        <v>-23.09</v>
      </c>
    </row>
    <row r="311" customFormat="false" ht="15" hidden="false" customHeight="false" outlineLevel="0" collapsed="false">
      <c r="A311" s="5" t="s">
        <v>382</v>
      </c>
      <c r="B311" s="5" t="s">
        <v>83</v>
      </c>
      <c r="C311" s="5" t="s">
        <v>50</v>
      </c>
      <c r="D311" s="5" t="s">
        <v>43</v>
      </c>
      <c r="E311" s="5" t="s">
        <v>107</v>
      </c>
      <c r="F311" s="5" t="s">
        <v>108</v>
      </c>
      <c r="G311" s="5" t="n">
        <v>7102</v>
      </c>
      <c r="H311" s="5" t="s">
        <v>46</v>
      </c>
      <c r="I311" s="5" t="s">
        <v>54</v>
      </c>
      <c r="J311" s="5" t="s">
        <v>55</v>
      </c>
      <c r="K311" s="6" t="n">
        <v>202.43</v>
      </c>
      <c r="L311" s="5" t="n">
        <v>2</v>
      </c>
      <c r="M311" s="7" t="n">
        <v>0.1</v>
      </c>
      <c r="N311" s="6" t="n">
        <v>67.61</v>
      </c>
    </row>
    <row r="312" customFormat="false" ht="15" hidden="false" customHeight="false" outlineLevel="0" collapsed="false">
      <c r="A312" s="5" t="s">
        <v>383</v>
      </c>
      <c r="B312" s="5" t="s">
        <v>41</v>
      </c>
      <c r="C312" s="5" t="s">
        <v>69</v>
      </c>
      <c r="D312" s="5" t="s">
        <v>43</v>
      </c>
      <c r="E312" s="5" t="s">
        <v>100</v>
      </c>
      <c r="F312" s="5" t="s">
        <v>101</v>
      </c>
      <c r="G312" s="5" t="n">
        <v>19140</v>
      </c>
      <c r="H312" s="5" t="s">
        <v>46</v>
      </c>
      <c r="I312" s="5" t="s">
        <v>65</v>
      </c>
      <c r="J312" s="5" t="s">
        <v>124</v>
      </c>
      <c r="K312" s="6" t="n">
        <v>133.14</v>
      </c>
      <c r="L312" s="5" t="n">
        <v>9</v>
      </c>
      <c r="M312" s="7" t="n">
        <v>0.3</v>
      </c>
      <c r="N312" s="6" t="n">
        <v>6.13</v>
      </c>
    </row>
    <row r="313" customFormat="false" ht="15" hidden="false" customHeight="false" outlineLevel="0" collapsed="false">
      <c r="A313" s="5" t="s">
        <v>384</v>
      </c>
      <c r="B313" s="5" t="s">
        <v>83</v>
      </c>
      <c r="C313" s="5" t="s">
        <v>50</v>
      </c>
      <c r="D313" s="5" t="s">
        <v>43</v>
      </c>
      <c r="E313" s="5" t="s">
        <v>62</v>
      </c>
      <c r="F313" s="5" t="s">
        <v>63</v>
      </c>
      <c r="G313" s="5" t="n">
        <v>77095</v>
      </c>
      <c r="H313" s="5" t="s">
        <v>64</v>
      </c>
      <c r="I313" s="5" t="s">
        <v>54</v>
      </c>
      <c r="J313" s="5" t="s">
        <v>55</v>
      </c>
      <c r="K313" s="6" t="n">
        <v>88.44</v>
      </c>
      <c r="L313" s="5" t="n">
        <v>8</v>
      </c>
      <c r="M313" s="7" t="n">
        <v>0</v>
      </c>
      <c r="N313" s="6" t="n">
        <v>29.48</v>
      </c>
    </row>
    <row r="314" customFormat="false" ht="15" hidden="false" customHeight="false" outlineLevel="0" collapsed="false">
      <c r="A314" s="5" t="s">
        <v>385</v>
      </c>
      <c r="B314" s="5" t="s">
        <v>68</v>
      </c>
      <c r="C314" s="5" t="s">
        <v>42</v>
      </c>
      <c r="D314" s="5" t="s">
        <v>43</v>
      </c>
      <c r="E314" s="5" t="s">
        <v>114</v>
      </c>
      <c r="F314" s="5" t="s">
        <v>115</v>
      </c>
      <c r="G314" s="5" t="n">
        <v>90036</v>
      </c>
      <c r="H314" s="5" t="s">
        <v>72</v>
      </c>
      <c r="I314" s="5" t="s">
        <v>47</v>
      </c>
      <c r="J314" s="5" t="s">
        <v>48</v>
      </c>
      <c r="K314" s="6" t="n">
        <v>86.45</v>
      </c>
      <c r="L314" s="5" t="n">
        <v>5</v>
      </c>
      <c r="M314" s="7" t="n">
        <v>0.1</v>
      </c>
      <c r="N314" s="6" t="n">
        <v>11.62</v>
      </c>
    </row>
    <row r="315" customFormat="false" ht="15" hidden="false" customHeight="false" outlineLevel="0" collapsed="false">
      <c r="A315" s="5" t="s">
        <v>103</v>
      </c>
      <c r="B315" s="5" t="s">
        <v>83</v>
      </c>
      <c r="C315" s="5" t="s">
        <v>50</v>
      </c>
      <c r="D315" s="5" t="s">
        <v>43</v>
      </c>
      <c r="E315" s="5" t="s">
        <v>104</v>
      </c>
      <c r="F315" s="5" t="s">
        <v>105</v>
      </c>
      <c r="G315" s="5" t="n">
        <v>28205</v>
      </c>
      <c r="H315" s="5" t="s">
        <v>53</v>
      </c>
      <c r="I315" s="5" t="s">
        <v>47</v>
      </c>
      <c r="J315" s="5" t="s">
        <v>48</v>
      </c>
      <c r="K315" s="6" t="n">
        <v>26.94</v>
      </c>
      <c r="L315" s="5" t="n">
        <v>3</v>
      </c>
      <c r="M315" s="7" t="n">
        <v>0.3</v>
      </c>
      <c r="N315" s="6" t="n">
        <v>-0.73</v>
      </c>
    </row>
    <row r="316" customFormat="false" ht="15" hidden="false" customHeight="false" outlineLevel="0" collapsed="false">
      <c r="A316" s="5" t="s">
        <v>106</v>
      </c>
      <c r="B316" s="5" t="s">
        <v>83</v>
      </c>
      <c r="C316" s="5" t="s">
        <v>42</v>
      </c>
      <c r="D316" s="5" t="s">
        <v>43</v>
      </c>
      <c r="E316" s="5" t="s">
        <v>107</v>
      </c>
      <c r="F316" s="5" t="s">
        <v>108</v>
      </c>
      <c r="G316" s="5" t="n">
        <v>7102</v>
      </c>
      <c r="H316" s="5" t="s">
        <v>46</v>
      </c>
      <c r="I316" s="5" t="s">
        <v>65</v>
      </c>
      <c r="J316" s="5" t="s">
        <v>120</v>
      </c>
      <c r="K316" s="6" t="n">
        <v>22.43</v>
      </c>
      <c r="L316" s="5" t="n">
        <v>2</v>
      </c>
      <c r="M316" s="7" t="n">
        <v>0.5</v>
      </c>
      <c r="N316" s="6" t="n">
        <v>-0.17</v>
      </c>
    </row>
    <row r="317" customFormat="false" ht="15" hidden="false" customHeight="false" outlineLevel="0" collapsed="false">
      <c r="A317" s="5" t="s">
        <v>304</v>
      </c>
      <c r="B317" s="5" t="s">
        <v>68</v>
      </c>
      <c r="C317" s="5" t="s">
        <v>50</v>
      </c>
      <c r="D317" s="5" t="s">
        <v>43</v>
      </c>
      <c r="E317" s="5" t="s">
        <v>112</v>
      </c>
      <c r="F317" s="5" t="s">
        <v>63</v>
      </c>
      <c r="G317" s="5" t="n">
        <v>75217</v>
      </c>
      <c r="H317" s="5" t="s">
        <v>64</v>
      </c>
      <c r="I317" s="5" t="s">
        <v>65</v>
      </c>
      <c r="J317" s="5" t="s">
        <v>124</v>
      </c>
      <c r="K317" s="6" t="n">
        <v>18.12</v>
      </c>
      <c r="L317" s="5" t="n">
        <v>7</v>
      </c>
      <c r="M317" s="7" t="n">
        <v>0.7</v>
      </c>
      <c r="N317" s="6" t="n">
        <v>-2.75</v>
      </c>
    </row>
    <row r="318" customFormat="false" ht="15" hidden="false" customHeight="false" outlineLevel="0" collapsed="false">
      <c r="A318" s="5" t="s">
        <v>386</v>
      </c>
      <c r="B318" s="5" t="s">
        <v>57</v>
      </c>
      <c r="C318" s="5" t="s">
        <v>42</v>
      </c>
      <c r="D318" s="5" t="s">
        <v>43</v>
      </c>
      <c r="E318" s="5" t="s">
        <v>62</v>
      </c>
      <c r="F318" s="5" t="s">
        <v>63</v>
      </c>
      <c r="G318" s="5" t="n">
        <v>77095</v>
      </c>
      <c r="H318" s="5" t="s">
        <v>64</v>
      </c>
      <c r="I318" s="5" t="s">
        <v>54</v>
      </c>
      <c r="J318" s="5" t="s">
        <v>93</v>
      </c>
      <c r="K318" s="6" t="n">
        <v>118.6</v>
      </c>
      <c r="L318" s="5" t="n">
        <v>9</v>
      </c>
      <c r="M318" s="7" t="n">
        <v>0.4</v>
      </c>
      <c r="N318" s="6" t="n">
        <v>25.8</v>
      </c>
    </row>
    <row r="319" customFormat="false" ht="15" hidden="false" customHeight="false" outlineLevel="0" collapsed="false">
      <c r="A319" s="5" t="s">
        <v>130</v>
      </c>
      <c r="B319" s="5" t="s">
        <v>41</v>
      </c>
      <c r="C319" s="5" t="s">
        <v>50</v>
      </c>
      <c r="D319" s="5" t="s">
        <v>43</v>
      </c>
      <c r="E319" s="5" t="s">
        <v>112</v>
      </c>
      <c r="F319" s="5" t="s">
        <v>63</v>
      </c>
      <c r="G319" s="5" t="n">
        <v>75217</v>
      </c>
      <c r="H319" s="5" t="s">
        <v>64</v>
      </c>
      <c r="I319" s="5" t="s">
        <v>47</v>
      </c>
      <c r="J319" s="5" t="s">
        <v>48</v>
      </c>
      <c r="K319" s="6" t="n">
        <v>30.36</v>
      </c>
      <c r="L319" s="5" t="n">
        <v>6</v>
      </c>
      <c r="M319" s="7" t="n">
        <v>0.7</v>
      </c>
      <c r="N319" s="6" t="n">
        <v>-10.3</v>
      </c>
    </row>
    <row r="320" customFormat="false" ht="15" hidden="false" customHeight="false" outlineLevel="0" collapsed="false">
      <c r="A320" s="5" t="s">
        <v>387</v>
      </c>
      <c r="B320" s="5" t="s">
        <v>83</v>
      </c>
      <c r="C320" s="5" t="s">
        <v>42</v>
      </c>
      <c r="D320" s="5" t="s">
        <v>43</v>
      </c>
      <c r="E320" s="5" t="s">
        <v>114</v>
      </c>
      <c r="F320" s="5" t="s">
        <v>115</v>
      </c>
      <c r="G320" s="5" t="n">
        <v>90036</v>
      </c>
      <c r="H320" s="5" t="s">
        <v>72</v>
      </c>
      <c r="I320" s="5" t="s">
        <v>54</v>
      </c>
      <c r="J320" s="5" t="s">
        <v>55</v>
      </c>
      <c r="K320" s="6" t="n">
        <v>1542.39</v>
      </c>
      <c r="L320" s="5" t="n">
        <v>6</v>
      </c>
      <c r="M320" s="7" t="n">
        <v>0</v>
      </c>
      <c r="N320" s="6" t="n">
        <v>565.44</v>
      </c>
    </row>
    <row r="321" customFormat="false" ht="15" hidden="false" customHeight="false" outlineLevel="0" collapsed="false">
      <c r="A321" s="5" t="s">
        <v>343</v>
      </c>
      <c r="B321" s="5" t="s">
        <v>41</v>
      </c>
      <c r="C321" s="5" t="s">
        <v>50</v>
      </c>
      <c r="D321" s="5" t="s">
        <v>43</v>
      </c>
      <c r="E321" s="5" t="s">
        <v>75</v>
      </c>
      <c r="F321" s="5" t="s">
        <v>76</v>
      </c>
      <c r="G321" s="5" t="n">
        <v>60610</v>
      </c>
      <c r="H321" s="5" t="s">
        <v>64</v>
      </c>
      <c r="I321" s="5" t="s">
        <v>65</v>
      </c>
      <c r="J321" s="5" t="s">
        <v>88</v>
      </c>
      <c r="K321" s="6" t="n">
        <v>42.19</v>
      </c>
      <c r="L321" s="5" t="n">
        <v>6</v>
      </c>
      <c r="M321" s="7" t="n">
        <v>0</v>
      </c>
      <c r="N321" s="6" t="n">
        <v>-9.94</v>
      </c>
    </row>
    <row r="322" customFormat="false" ht="15" hidden="false" customHeight="false" outlineLevel="0" collapsed="false">
      <c r="A322" s="5" t="s">
        <v>388</v>
      </c>
      <c r="B322" s="5" t="s">
        <v>83</v>
      </c>
      <c r="C322" s="5" t="s">
        <v>69</v>
      </c>
      <c r="D322" s="5" t="s">
        <v>43</v>
      </c>
      <c r="E322" s="5" t="s">
        <v>62</v>
      </c>
      <c r="F322" s="5" t="s">
        <v>63</v>
      </c>
      <c r="G322" s="5" t="n">
        <v>77095</v>
      </c>
      <c r="H322" s="5" t="s">
        <v>64</v>
      </c>
      <c r="I322" s="5" t="s">
        <v>54</v>
      </c>
      <c r="J322" s="5" t="s">
        <v>55</v>
      </c>
      <c r="K322" s="6" t="n">
        <v>723.05</v>
      </c>
      <c r="L322" s="5" t="n">
        <v>4</v>
      </c>
      <c r="M322" s="7" t="n">
        <v>0.1</v>
      </c>
      <c r="N322" s="6" t="n">
        <v>278.8</v>
      </c>
    </row>
    <row r="323" customFormat="false" ht="15" hidden="false" customHeight="false" outlineLevel="0" collapsed="false">
      <c r="A323" s="5" t="s">
        <v>389</v>
      </c>
      <c r="B323" s="5" t="s">
        <v>68</v>
      </c>
      <c r="C323" s="5" t="s">
        <v>69</v>
      </c>
      <c r="D323" s="5" t="s">
        <v>43</v>
      </c>
      <c r="E323" s="5" t="s">
        <v>62</v>
      </c>
      <c r="F323" s="5" t="s">
        <v>63</v>
      </c>
      <c r="G323" s="5" t="n">
        <v>77095</v>
      </c>
      <c r="H323" s="5" t="s">
        <v>64</v>
      </c>
      <c r="I323" s="5" t="s">
        <v>65</v>
      </c>
      <c r="J323" s="5" t="s">
        <v>120</v>
      </c>
      <c r="K323" s="6" t="n">
        <v>37.4</v>
      </c>
      <c r="L323" s="5" t="n">
        <v>7</v>
      </c>
      <c r="M323" s="7" t="n">
        <v>0.3</v>
      </c>
      <c r="N323" s="6" t="n">
        <v>5.3</v>
      </c>
    </row>
    <row r="324" customFormat="false" ht="15" hidden="false" customHeight="false" outlineLevel="0" collapsed="false">
      <c r="A324" s="5" t="s">
        <v>390</v>
      </c>
      <c r="B324" s="5" t="s">
        <v>68</v>
      </c>
      <c r="C324" s="5" t="s">
        <v>50</v>
      </c>
      <c r="D324" s="5" t="s">
        <v>43</v>
      </c>
      <c r="E324" s="5" t="s">
        <v>176</v>
      </c>
      <c r="F324" s="5" t="s">
        <v>177</v>
      </c>
      <c r="G324" s="5" t="n">
        <v>55407</v>
      </c>
      <c r="H324" s="5" t="s">
        <v>64</v>
      </c>
      <c r="I324" s="5" t="s">
        <v>47</v>
      </c>
      <c r="J324" s="5" t="s">
        <v>84</v>
      </c>
      <c r="K324" s="6" t="n">
        <v>132.95</v>
      </c>
      <c r="L324" s="5" t="n">
        <v>4</v>
      </c>
      <c r="M324" s="7" t="n">
        <v>0.2</v>
      </c>
      <c r="N324" s="6" t="n">
        <v>-23.97</v>
      </c>
    </row>
    <row r="325" customFormat="false" ht="15" hidden="false" customHeight="false" outlineLevel="0" collapsed="false">
      <c r="A325" s="5" t="s">
        <v>315</v>
      </c>
      <c r="B325" s="5" t="s">
        <v>57</v>
      </c>
      <c r="C325" s="5" t="s">
        <v>50</v>
      </c>
      <c r="D325" s="5" t="s">
        <v>43</v>
      </c>
      <c r="E325" s="5" t="s">
        <v>91</v>
      </c>
      <c r="F325" s="5" t="s">
        <v>92</v>
      </c>
      <c r="G325" s="5" t="n">
        <v>33311</v>
      </c>
      <c r="H325" s="5" t="s">
        <v>53</v>
      </c>
      <c r="I325" s="5" t="s">
        <v>54</v>
      </c>
      <c r="J325" s="5" t="s">
        <v>77</v>
      </c>
      <c r="K325" s="6" t="n">
        <v>6515.81</v>
      </c>
      <c r="L325" s="5" t="n">
        <v>8</v>
      </c>
      <c r="M325" s="7" t="n">
        <v>0.5</v>
      </c>
      <c r="N325" s="6" t="n">
        <v>1121.69</v>
      </c>
    </row>
    <row r="326" customFormat="false" ht="15" hidden="false" customHeight="false" outlineLevel="0" collapsed="false">
      <c r="A326" s="5" t="s">
        <v>391</v>
      </c>
      <c r="B326" s="5" t="s">
        <v>83</v>
      </c>
      <c r="C326" s="5" t="s">
        <v>69</v>
      </c>
      <c r="D326" s="5" t="s">
        <v>43</v>
      </c>
      <c r="E326" s="5" t="s">
        <v>51</v>
      </c>
      <c r="F326" s="5" t="s">
        <v>52</v>
      </c>
      <c r="G326" s="5" t="n">
        <v>37211</v>
      </c>
      <c r="H326" s="5" t="s">
        <v>53</v>
      </c>
      <c r="I326" s="5" t="s">
        <v>65</v>
      </c>
      <c r="J326" s="5" t="s">
        <v>88</v>
      </c>
      <c r="K326" s="6" t="n">
        <v>127.49</v>
      </c>
      <c r="L326" s="5" t="n">
        <v>5</v>
      </c>
      <c r="M326" s="7" t="n">
        <v>0</v>
      </c>
      <c r="N326" s="6" t="n">
        <v>40.06</v>
      </c>
    </row>
    <row r="327" customFormat="false" ht="15" hidden="false" customHeight="false" outlineLevel="0" collapsed="false">
      <c r="A327" s="5" t="s">
        <v>392</v>
      </c>
      <c r="B327" s="5" t="s">
        <v>68</v>
      </c>
      <c r="C327" s="5" t="s">
        <v>42</v>
      </c>
      <c r="D327" s="5" t="s">
        <v>43</v>
      </c>
      <c r="E327" s="5" t="s">
        <v>100</v>
      </c>
      <c r="F327" s="5" t="s">
        <v>101</v>
      </c>
      <c r="G327" s="5" t="n">
        <v>19140</v>
      </c>
      <c r="H327" s="5" t="s">
        <v>46</v>
      </c>
      <c r="I327" s="5" t="s">
        <v>65</v>
      </c>
      <c r="J327" s="5" t="s">
        <v>133</v>
      </c>
      <c r="K327" s="6" t="n">
        <v>102.81</v>
      </c>
      <c r="L327" s="5" t="n">
        <v>5</v>
      </c>
      <c r="M327" s="7" t="n">
        <v>0.4</v>
      </c>
      <c r="N327" s="6" t="n">
        <v>24.91</v>
      </c>
    </row>
    <row r="328" customFormat="false" ht="15" hidden="false" customHeight="false" outlineLevel="0" collapsed="false">
      <c r="A328" s="5" t="s">
        <v>393</v>
      </c>
      <c r="B328" s="5" t="s">
        <v>83</v>
      </c>
      <c r="C328" s="5" t="s">
        <v>50</v>
      </c>
      <c r="D328" s="5" t="s">
        <v>43</v>
      </c>
      <c r="E328" s="5" t="s">
        <v>44</v>
      </c>
      <c r="F328" s="5" t="s">
        <v>45</v>
      </c>
      <c r="G328" s="5" t="n">
        <v>10011</v>
      </c>
      <c r="H328" s="5" t="s">
        <v>46</v>
      </c>
      <c r="I328" s="5" t="s">
        <v>65</v>
      </c>
      <c r="J328" s="5" t="s">
        <v>122</v>
      </c>
      <c r="K328" s="6" t="n">
        <v>61.61</v>
      </c>
      <c r="L328" s="5" t="n">
        <v>7</v>
      </c>
      <c r="M328" s="7" t="n">
        <v>0</v>
      </c>
      <c r="N328" s="6" t="n">
        <v>22.2</v>
      </c>
    </row>
    <row r="329" customFormat="false" ht="15" hidden="false" customHeight="false" outlineLevel="0" collapsed="false">
      <c r="A329" s="5" t="s">
        <v>394</v>
      </c>
      <c r="B329" s="5" t="s">
        <v>57</v>
      </c>
      <c r="C329" s="5" t="s">
        <v>50</v>
      </c>
      <c r="D329" s="5" t="s">
        <v>43</v>
      </c>
      <c r="E329" s="5" t="s">
        <v>51</v>
      </c>
      <c r="F329" s="5" t="s">
        <v>52</v>
      </c>
      <c r="G329" s="5" t="n">
        <v>37211</v>
      </c>
      <c r="H329" s="5" t="s">
        <v>53</v>
      </c>
      <c r="I329" s="5" t="s">
        <v>65</v>
      </c>
      <c r="J329" s="5" t="s">
        <v>109</v>
      </c>
      <c r="K329" s="6" t="n">
        <v>38.07</v>
      </c>
      <c r="L329" s="5" t="n">
        <v>6</v>
      </c>
      <c r="M329" s="7" t="n">
        <v>0.2</v>
      </c>
      <c r="N329" s="6" t="n">
        <v>9.65</v>
      </c>
    </row>
    <row r="330" customFormat="false" ht="15" hidden="false" customHeight="false" outlineLevel="0" collapsed="false">
      <c r="A330" s="5" t="s">
        <v>395</v>
      </c>
      <c r="B330" s="5" t="s">
        <v>57</v>
      </c>
      <c r="C330" s="5" t="s">
        <v>50</v>
      </c>
      <c r="D330" s="5" t="s">
        <v>43</v>
      </c>
      <c r="E330" s="5" t="s">
        <v>100</v>
      </c>
      <c r="F330" s="5" t="s">
        <v>101</v>
      </c>
      <c r="G330" s="5" t="n">
        <v>19140</v>
      </c>
      <c r="H330" s="5" t="s">
        <v>46</v>
      </c>
      <c r="I330" s="5" t="s">
        <v>65</v>
      </c>
      <c r="J330" s="5" t="s">
        <v>133</v>
      </c>
      <c r="K330" s="6" t="n">
        <v>79.95</v>
      </c>
      <c r="L330" s="5" t="n">
        <v>3</v>
      </c>
      <c r="M330" s="7" t="n">
        <v>0.15</v>
      </c>
      <c r="N330" s="6" t="n">
        <v>20.31</v>
      </c>
    </row>
    <row r="331" customFormat="false" ht="15" hidden="false" customHeight="false" outlineLevel="0" collapsed="false">
      <c r="A331" s="5" t="s">
        <v>232</v>
      </c>
      <c r="B331" s="5" t="s">
        <v>68</v>
      </c>
      <c r="C331" s="5" t="s">
        <v>42</v>
      </c>
      <c r="D331" s="5" t="s">
        <v>43</v>
      </c>
      <c r="E331" s="5" t="s">
        <v>70</v>
      </c>
      <c r="F331" s="5" t="s">
        <v>71</v>
      </c>
      <c r="G331" s="5" t="n">
        <v>80219</v>
      </c>
      <c r="H331" s="5" t="s">
        <v>72</v>
      </c>
      <c r="I331" s="5" t="s">
        <v>54</v>
      </c>
      <c r="J331" s="5" t="s">
        <v>93</v>
      </c>
      <c r="K331" s="6" t="n">
        <v>117.87</v>
      </c>
      <c r="L331" s="5" t="n">
        <v>6</v>
      </c>
      <c r="M331" s="7" t="n">
        <v>0.2</v>
      </c>
      <c r="N331" s="6" t="n">
        <v>43.94</v>
      </c>
    </row>
    <row r="332" customFormat="false" ht="15" hidden="false" customHeight="false" outlineLevel="0" collapsed="false">
      <c r="A332" s="5" t="s">
        <v>396</v>
      </c>
      <c r="B332" s="5" t="s">
        <v>83</v>
      </c>
      <c r="C332" s="5" t="s">
        <v>50</v>
      </c>
      <c r="D332" s="5" t="s">
        <v>43</v>
      </c>
      <c r="E332" s="5" t="s">
        <v>51</v>
      </c>
      <c r="F332" s="5" t="s">
        <v>52</v>
      </c>
      <c r="G332" s="5" t="n">
        <v>37211</v>
      </c>
      <c r="H332" s="5" t="s">
        <v>53</v>
      </c>
      <c r="I332" s="5" t="s">
        <v>54</v>
      </c>
      <c r="J332" s="5" t="s">
        <v>73</v>
      </c>
      <c r="K332" s="6" t="n">
        <v>30.2</v>
      </c>
      <c r="L332" s="5" t="n">
        <v>9</v>
      </c>
      <c r="M332" s="7" t="n">
        <v>0</v>
      </c>
      <c r="N332" s="6" t="n">
        <v>9.59</v>
      </c>
    </row>
    <row r="333" customFormat="false" ht="15" hidden="false" customHeight="false" outlineLevel="0" collapsed="false">
      <c r="A333" s="5" t="s">
        <v>397</v>
      </c>
      <c r="B333" s="5" t="s">
        <v>83</v>
      </c>
      <c r="C333" s="5" t="s">
        <v>42</v>
      </c>
      <c r="D333" s="5" t="s">
        <v>43</v>
      </c>
      <c r="E333" s="5" t="s">
        <v>118</v>
      </c>
      <c r="F333" s="5" t="s">
        <v>119</v>
      </c>
      <c r="G333" s="5" t="n">
        <v>98103</v>
      </c>
      <c r="H333" s="5" t="s">
        <v>72</v>
      </c>
      <c r="I333" s="5" t="s">
        <v>54</v>
      </c>
      <c r="J333" s="5" t="s">
        <v>73</v>
      </c>
      <c r="K333" s="6" t="n">
        <v>30.09</v>
      </c>
      <c r="L333" s="5" t="n">
        <v>3</v>
      </c>
      <c r="M333" s="7" t="n">
        <v>0.5</v>
      </c>
      <c r="N333" s="6" t="n">
        <v>3.69</v>
      </c>
    </row>
    <row r="334" customFormat="false" ht="15" hidden="false" customHeight="false" outlineLevel="0" collapsed="false">
      <c r="A334" s="5" t="s">
        <v>398</v>
      </c>
      <c r="B334" s="5" t="s">
        <v>57</v>
      </c>
      <c r="C334" s="5" t="s">
        <v>69</v>
      </c>
      <c r="D334" s="5" t="s">
        <v>43</v>
      </c>
      <c r="E334" s="5" t="s">
        <v>112</v>
      </c>
      <c r="F334" s="5" t="s">
        <v>63</v>
      </c>
      <c r="G334" s="5" t="n">
        <v>75217</v>
      </c>
      <c r="H334" s="5" t="s">
        <v>64</v>
      </c>
      <c r="I334" s="5" t="s">
        <v>47</v>
      </c>
      <c r="J334" s="5" t="s">
        <v>84</v>
      </c>
      <c r="K334" s="6" t="n">
        <v>51.79</v>
      </c>
      <c r="L334" s="5" t="n">
        <v>9</v>
      </c>
      <c r="M334" s="7" t="n">
        <v>0.7</v>
      </c>
      <c r="N334" s="6" t="n">
        <v>-18.89</v>
      </c>
    </row>
    <row r="335" customFormat="false" ht="15" hidden="false" customHeight="false" outlineLevel="0" collapsed="false">
      <c r="A335" s="5" t="s">
        <v>399</v>
      </c>
      <c r="B335" s="5" t="s">
        <v>41</v>
      </c>
      <c r="C335" s="5" t="s">
        <v>69</v>
      </c>
      <c r="D335" s="5" t="s">
        <v>43</v>
      </c>
      <c r="E335" s="5" t="s">
        <v>44</v>
      </c>
      <c r="F335" s="5" t="s">
        <v>45</v>
      </c>
      <c r="G335" s="5" t="n">
        <v>10011</v>
      </c>
      <c r="H335" s="5" t="s">
        <v>46</v>
      </c>
      <c r="I335" s="5" t="s">
        <v>54</v>
      </c>
      <c r="J335" s="5" t="s">
        <v>55</v>
      </c>
      <c r="K335" s="6" t="n">
        <v>580.16</v>
      </c>
      <c r="L335" s="5" t="n">
        <v>6</v>
      </c>
      <c r="M335" s="7" t="n">
        <v>0.1</v>
      </c>
      <c r="N335" s="6" t="n">
        <v>187.73</v>
      </c>
    </row>
    <row r="336" customFormat="false" ht="15" hidden="false" customHeight="false" outlineLevel="0" collapsed="false">
      <c r="A336" s="5" t="s">
        <v>400</v>
      </c>
      <c r="B336" s="5" t="s">
        <v>41</v>
      </c>
      <c r="C336" s="5" t="s">
        <v>50</v>
      </c>
      <c r="D336" s="5" t="s">
        <v>43</v>
      </c>
      <c r="E336" s="5" t="s">
        <v>51</v>
      </c>
      <c r="F336" s="5" t="s">
        <v>52</v>
      </c>
      <c r="G336" s="5" t="n">
        <v>37211</v>
      </c>
      <c r="H336" s="5" t="s">
        <v>53</v>
      </c>
      <c r="I336" s="5" t="s">
        <v>47</v>
      </c>
      <c r="J336" s="5" t="s">
        <v>48</v>
      </c>
      <c r="K336" s="6" t="n">
        <v>135.22</v>
      </c>
      <c r="L336" s="5" t="n">
        <v>9</v>
      </c>
      <c r="M336" s="7" t="n">
        <v>0</v>
      </c>
      <c r="N336" s="6" t="n">
        <v>22.2</v>
      </c>
    </row>
    <row r="337" customFormat="false" ht="15" hidden="false" customHeight="false" outlineLevel="0" collapsed="false">
      <c r="A337" s="5" t="s">
        <v>273</v>
      </c>
      <c r="B337" s="5" t="s">
        <v>83</v>
      </c>
      <c r="C337" s="5" t="s">
        <v>50</v>
      </c>
      <c r="D337" s="5" t="s">
        <v>43</v>
      </c>
      <c r="E337" s="5" t="s">
        <v>70</v>
      </c>
      <c r="F337" s="5" t="s">
        <v>71</v>
      </c>
      <c r="G337" s="5" t="n">
        <v>80219</v>
      </c>
      <c r="H337" s="5" t="s">
        <v>72</v>
      </c>
      <c r="I337" s="5" t="s">
        <v>54</v>
      </c>
      <c r="J337" s="5" t="s">
        <v>73</v>
      </c>
      <c r="K337" s="6" t="n">
        <v>125.14</v>
      </c>
      <c r="L337" s="5" t="n">
        <v>3</v>
      </c>
      <c r="M337" s="7" t="n">
        <v>0.2</v>
      </c>
      <c r="N337" s="6" t="n">
        <v>-3.73</v>
      </c>
    </row>
    <row r="338" customFormat="false" ht="15" hidden="false" customHeight="false" outlineLevel="0" collapsed="false">
      <c r="A338" s="5" t="s">
        <v>401</v>
      </c>
      <c r="B338" s="5" t="s">
        <v>68</v>
      </c>
      <c r="C338" s="5" t="s">
        <v>42</v>
      </c>
      <c r="D338" s="5" t="s">
        <v>43</v>
      </c>
      <c r="E338" s="5" t="s">
        <v>176</v>
      </c>
      <c r="F338" s="5" t="s">
        <v>177</v>
      </c>
      <c r="G338" s="5" t="n">
        <v>55407</v>
      </c>
      <c r="H338" s="5" t="s">
        <v>64</v>
      </c>
      <c r="I338" s="5" t="s">
        <v>47</v>
      </c>
      <c r="J338" s="5" t="s">
        <v>86</v>
      </c>
      <c r="K338" s="6" t="n">
        <v>89.04</v>
      </c>
      <c r="L338" s="5" t="n">
        <v>1</v>
      </c>
      <c r="M338" s="7" t="n">
        <v>0.5</v>
      </c>
      <c r="N338" s="6" t="n">
        <v>-31.34</v>
      </c>
    </row>
    <row r="339" customFormat="false" ht="15" hidden="false" customHeight="false" outlineLevel="0" collapsed="false">
      <c r="A339" s="5" t="s">
        <v>344</v>
      </c>
      <c r="B339" s="5" t="s">
        <v>41</v>
      </c>
      <c r="C339" s="5" t="s">
        <v>69</v>
      </c>
      <c r="D339" s="5" t="s">
        <v>43</v>
      </c>
      <c r="E339" s="5" t="s">
        <v>91</v>
      </c>
      <c r="F339" s="5" t="s">
        <v>92</v>
      </c>
      <c r="G339" s="5" t="n">
        <v>33311</v>
      </c>
      <c r="H339" s="5" t="s">
        <v>53</v>
      </c>
      <c r="I339" s="5" t="s">
        <v>54</v>
      </c>
      <c r="J339" s="5" t="s">
        <v>73</v>
      </c>
      <c r="K339" s="6" t="n">
        <v>75.58</v>
      </c>
      <c r="L339" s="5" t="n">
        <v>1</v>
      </c>
      <c r="M339" s="7" t="n">
        <v>0.3</v>
      </c>
      <c r="N339" s="6" t="n">
        <v>-2.69</v>
      </c>
    </row>
    <row r="340" customFormat="false" ht="15" hidden="false" customHeight="false" outlineLevel="0" collapsed="false">
      <c r="A340" s="5" t="s">
        <v>402</v>
      </c>
      <c r="B340" s="5" t="s">
        <v>41</v>
      </c>
      <c r="C340" s="5" t="s">
        <v>42</v>
      </c>
      <c r="D340" s="5" t="s">
        <v>43</v>
      </c>
      <c r="E340" s="5" t="s">
        <v>75</v>
      </c>
      <c r="F340" s="5" t="s">
        <v>76</v>
      </c>
      <c r="G340" s="5" t="n">
        <v>60610</v>
      </c>
      <c r="H340" s="5" t="s">
        <v>64</v>
      </c>
      <c r="I340" s="5" t="s">
        <v>65</v>
      </c>
      <c r="J340" s="5" t="s">
        <v>66</v>
      </c>
      <c r="K340" s="6" t="n">
        <v>66.97</v>
      </c>
      <c r="L340" s="5" t="n">
        <v>9</v>
      </c>
      <c r="M340" s="7" t="n">
        <v>0.2</v>
      </c>
      <c r="N340" s="6" t="n">
        <v>16.42</v>
      </c>
    </row>
    <row r="341" customFormat="false" ht="15" hidden="false" customHeight="false" outlineLevel="0" collapsed="false">
      <c r="A341" s="5" t="s">
        <v>184</v>
      </c>
      <c r="B341" s="5" t="s">
        <v>68</v>
      </c>
      <c r="C341" s="5" t="s">
        <v>50</v>
      </c>
      <c r="D341" s="5" t="s">
        <v>43</v>
      </c>
      <c r="E341" s="5" t="s">
        <v>79</v>
      </c>
      <c r="F341" s="5" t="s">
        <v>80</v>
      </c>
      <c r="G341" s="5" t="n">
        <v>2127</v>
      </c>
      <c r="H341" s="5" t="s">
        <v>46</v>
      </c>
      <c r="I341" s="5" t="s">
        <v>54</v>
      </c>
      <c r="J341" s="5" t="s">
        <v>55</v>
      </c>
      <c r="K341" s="6" t="n">
        <v>88.44</v>
      </c>
      <c r="L341" s="5" t="n">
        <v>3</v>
      </c>
      <c r="M341" s="7" t="n">
        <v>0</v>
      </c>
      <c r="N341" s="6" t="n">
        <v>27.63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4" min="12" style="0" width="11"/>
    <col collapsed="false" customWidth="true" hidden="false" outlineLevel="0" max="16" min="16" style="0" width="27"/>
    <col collapsed="false" customWidth="true" hidden="false" outlineLevel="0" max="17" min="17" style="0" width="17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P1" s="8" t="s">
        <v>403</v>
      </c>
      <c r="Q1" s="8" t="n">
        <f aca="false">COUNTA(SampleSuperstore_Raw!A2:A341)</f>
        <v>340</v>
      </c>
    </row>
    <row r="2" customFormat="false" ht="15" hidden="false" customHeight="false" outlineLevel="0" collapsed="false">
      <c r="A2" s="5" t="s">
        <v>97</v>
      </c>
      <c r="B2" s="5" t="s">
        <v>68</v>
      </c>
      <c r="C2" s="5" t="s">
        <v>42</v>
      </c>
      <c r="D2" s="5" t="s">
        <v>43</v>
      </c>
      <c r="E2" s="5" t="s">
        <v>44</v>
      </c>
      <c r="F2" s="5" t="s">
        <v>45</v>
      </c>
      <c r="G2" s="5" t="n">
        <v>10011</v>
      </c>
      <c r="H2" s="5" t="s">
        <v>46</v>
      </c>
      <c r="I2" s="5" t="s">
        <v>54</v>
      </c>
      <c r="J2" s="5" t="s">
        <v>73</v>
      </c>
      <c r="K2" s="6" t="n">
        <v>108.53</v>
      </c>
      <c r="L2" s="5" t="n">
        <v>5</v>
      </c>
      <c r="M2" s="7" t="n">
        <v>0.2</v>
      </c>
      <c r="N2" s="6" t="n">
        <v>30.01</v>
      </c>
      <c r="P2" s="8" t="s">
        <v>404</v>
      </c>
      <c r="Q2" s="8" t="n">
        <f aca="false">COUNTA(A2:A301)</f>
        <v>300</v>
      </c>
    </row>
    <row r="3" customFormat="false" ht="15" hidden="false" customHeight="false" outlineLevel="0" collapsed="false">
      <c r="A3" s="5" t="s">
        <v>352</v>
      </c>
      <c r="B3" s="5" t="s">
        <v>68</v>
      </c>
      <c r="C3" s="5" t="s">
        <v>69</v>
      </c>
      <c r="D3" s="5" t="s">
        <v>43</v>
      </c>
      <c r="E3" s="5" t="s">
        <v>104</v>
      </c>
      <c r="F3" s="5" t="s">
        <v>105</v>
      </c>
      <c r="G3" s="5" t="n">
        <v>28205</v>
      </c>
      <c r="H3" s="5" t="s">
        <v>53</v>
      </c>
      <c r="I3" s="5" t="s">
        <v>47</v>
      </c>
      <c r="J3" s="5" t="s">
        <v>60</v>
      </c>
      <c r="K3" s="6" t="n">
        <v>114.86</v>
      </c>
      <c r="L3" s="5" t="n">
        <v>4</v>
      </c>
      <c r="M3" s="7" t="n">
        <v>0</v>
      </c>
      <c r="N3" s="6" t="n">
        <v>22.81</v>
      </c>
      <c r="P3" s="8" t="s">
        <v>405</v>
      </c>
      <c r="Q3" s="8" t="n">
        <f aca="false">SUMPRODUCT(--(COUNTIF(A2:A301,A2:A301)&gt;1))</f>
        <v>0</v>
      </c>
    </row>
    <row r="4" customFormat="false" ht="15" hidden="false" customHeight="false" outlineLevel="0" collapsed="false">
      <c r="A4" s="5" t="s">
        <v>166</v>
      </c>
      <c r="B4" s="5" t="s">
        <v>41</v>
      </c>
      <c r="C4" s="5" t="s">
        <v>42</v>
      </c>
      <c r="D4" s="5" t="s">
        <v>43</v>
      </c>
      <c r="E4" s="5" t="s">
        <v>79</v>
      </c>
      <c r="F4" s="5" t="s">
        <v>80</v>
      </c>
      <c r="G4" s="5" t="n">
        <v>2127</v>
      </c>
      <c r="H4" s="5" t="s">
        <v>46</v>
      </c>
      <c r="I4" s="5" t="s">
        <v>54</v>
      </c>
      <c r="J4" s="5" t="s">
        <v>93</v>
      </c>
      <c r="K4" s="6" t="n">
        <v>325.84</v>
      </c>
      <c r="L4" s="5" t="n">
        <v>7</v>
      </c>
      <c r="M4" s="7" t="n">
        <v>0.7</v>
      </c>
      <c r="N4" s="6" t="n">
        <v>11.02</v>
      </c>
    </row>
    <row r="5" customFormat="false" ht="15" hidden="false" customHeight="false" outlineLevel="0" collapsed="false">
      <c r="A5" s="5" t="s">
        <v>382</v>
      </c>
      <c r="B5" s="5" t="s">
        <v>83</v>
      </c>
      <c r="C5" s="5" t="s">
        <v>50</v>
      </c>
      <c r="D5" s="5" t="s">
        <v>43</v>
      </c>
      <c r="E5" s="5" t="s">
        <v>107</v>
      </c>
      <c r="F5" s="5" t="s">
        <v>108</v>
      </c>
      <c r="G5" s="5" t="n">
        <v>7102</v>
      </c>
      <c r="H5" s="5" t="s">
        <v>46</v>
      </c>
      <c r="I5" s="5" t="s">
        <v>54</v>
      </c>
      <c r="J5" s="5" t="s">
        <v>55</v>
      </c>
      <c r="K5" s="6" t="n">
        <v>202.43</v>
      </c>
      <c r="L5" s="5" t="n">
        <v>2</v>
      </c>
      <c r="M5" s="7" t="n">
        <v>0.1</v>
      </c>
      <c r="N5" s="6" t="n">
        <v>67.61</v>
      </c>
    </row>
    <row r="6" customFormat="false" ht="15" hidden="false" customHeight="false" outlineLevel="0" collapsed="false">
      <c r="A6" s="5" t="s">
        <v>215</v>
      </c>
      <c r="B6" s="5" t="s">
        <v>57</v>
      </c>
      <c r="C6" s="5" t="s">
        <v>69</v>
      </c>
      <c r="D6" s="5" t="s">
        <v>43</v>
      </c>
      <c r="E6" s="5" t="s">
        <v>176</v>
      </c>
      <c r="F6" s="5" t="s">
        <v>177</v>
      </c>
      <c r="G6" s="5" t="n">
        <v>55407</v>
      </c>
      <c r="H6" s="5" t="s">
        <v>64</v>
      </c>
      <c r="I6" s="5" t="s">
        <v>54</v>
      </c>
      <c r="J6" s="5" t="s">
        <v>73</v>
      </c>
      <c r="K6" s="6" t="n">
        <v>177.32</v>
      </c>
      <c r="L6" s="5" t="n">
        <v>7</v>
      </c>
      <c r="M6" s="7" t="n">
        <v>0</v>
      </c>
      <c r="N6" s="6" t="n">
        <v>-39.06</v>
      </c>
    </row>
    <row r="7" customFormat="false" ht="15" hidden="false" customHeight="false" outlineLevel="0" collapsed="false">
      <c r="A7" s="5" t="s">
        <v>186</v>
      </c>
      <c r="B7" s="5" t="s">
        <v>57</v>
      </c>
      <c r="C7" s="5" t="s">
        <v>69</v>
      </c>
      <c r="D7" s="5" t="s">
        <v>43</v>
      </c>
      <c r="E7" s="5" t="s">
        <v>91</v>
      </c>
      <c r="F7" s="5" t="s">
        <v>92</v>
      </c>
      <c r="G7" s="5" t="n">
        <v>33311</v>
      </c>
      <c r="H7" s="5" t="s">
        <v>53</v>
      </c>
      <c r="I7" s="5" t="s">
        <v>54</v>
      </c>
      <c r="J7" s="5" t="s">
        <v>93</v>
      </c>
      <c r="K7" s="6" t="n">
        <v>200.02</v>
      </c>
      <c r="L7" s="5" t="n">
        <v>8</v>
      </c>
      <c r="M7" s="7" t="n">
        <v>0.15</v>
      </c>
      <c r="N7" s="6" t="n">
        <v>90.71</v>
      </c>
    </row>
    <row r="8" customFormat="false" ht="15" hidden="false" customHeight="false" outlineLevel="0" collapsed="false">
      <c r="A8" s="5" t="s">
        <v>226</v>
      </c>
      <c r="B8" s="5" t="s">
        <v>41</v>
      </c>
      <c r="C8" s="5" t="s">
        <v>69</v>
      </c>
      <c r="D8" s="5" t="s">
        <v>43</v>
      </c>
      <c r="E8" s="5" t="s">
        <v>107</v>
      </c>
      <c r="F8" s="5" t="s">
        <v>108</v>
      </c>
      <c r="G8" s="5" t="n">
        <v>7102</v>
      </c>
      <c r="H8" s="5" t="s">
        <v>46</v>
      </c>
      <c r="I8" s="5" t="s">
        <v>47</v>
      </c>
      <c r="J8" s="5" t="s">
        <v>84</v>
      </c>
      <c r="K8" s="6" t="n">
        <v>108.24</v>
      </c>
      <c r="L8" s="5" t="n">
        <v>2</v>
      </c>
      <c r="M8" s="7" t="n">
        <v>0.5</v>
      </c>
      <c r="N8" s="6" t="n">
        <v>-33.24</v>
      </c>
    </row>
    <row r="9" customFormat="false" ht="15" hidden="false" customHeight="false" outlineLevel="0" collapsed="false">
      <c r="A9" s="5" t="s">
        <v>276</v>
      </c>
      <c r="B9" s="5" t="s">
        <v>83</v>
      </c>
      <c r="C9" s="5" t="s">
        <v>69</v>
      </c>
      <c r="D9" s="5" t="s">
        <v>43</v>
      </c>
      <c r="E9" s="5" t="s">
        <v>51</v>
      </c>
      <c r="F9" s="5" t="s">
        <v>52</v>
      </c>
      <c r="G9" s="5" t="n">
        <v>37211</v>
      </c>
      <c r="H9" s="5" t="s">
        <v>53</v>
      </c>
      <c r="I9" s="5" t="s">
        <v>65</v>
      </c>
      <c r="J9" s="5" t="s">
        <v>138</v>
      </c>
      <c r="K9" s="6" t="n">
        <v>44.65</v>
      </c>
      <c r="L9" s="5" t="n">
        <v>6</v>
      </c>
      <c r="M9" s="7" t="n">
        <v>0.7</v>
      </c>
      <c r="N9" s="6" t="n">
        <v>-6.72</v>
      </c>
    </row>
    <row r="10" customFormat="false" ht="15" hidden="false" customHeight="false" outlineLevel="0" collapsed="false">
      <c r="A10" s="5" t="s">
        <v>398</v>
      </c>
      <c r="B10" s="5" t="s">
        <v>57</v>
      </c>
      <c r="C10" s="5" t="s">
        <v>69</v>
      </c>
      <c r="D10" s="5" t="s">
        <v>43</v>
      </c>
      <c r="E10" s="5" t="s">
        <v>112</v>
      </c>
      <c r="F10" s="5" t="s">
        <v>63</v>
      </c>
      <c r="G10" s="5" t="n">
        <v>75217</v>
      </c>
      <c r="H10" s="5" t="s">
        <v>64</v>
      </c>
      <c r="I10" s="5" t="s">
        <v>47</v>
      </c>
      <c r="J10" s="5" t="s">
        <v>84</v>
      </c>
      <c r="K10" s="6" t="n">
        <v>51.79</v>
      </c>
      <c r="L10" s="5" t="n">
        <v>9</v>
      </c>
      <c r="M10" s="7" t="n">
        <v>0.7</v>
      </c>
      <c r="N10" s="6" t="n">
        <v>-18.89</v>
      </c>
    </row>
    <row r="11" customFormat="false" ht="15" hidden="false" customHeight="false" outlineLevel="0" collapsed="false">
      <c r="A11" s="5" t="s">
        <v>254</v>
      </c>
      <c r="B11" s="5" t="s">
        <v>57</v>
      </c>
      <c r="C11" s="5" t="s">
        <v>69</v>
      </c>
      <c r="D11" s="5" t="s">
        <v>43</v>
      </c>
      <c r="E11" s="5" t="s">
        <v>91</v>
      </c>
      <c r="F11" s="5" t="s">
        <v>92</v>
      </c>
      <c r="G11" s="5" t="n">
        <v>33311</v>
      </c>
      <c r="H11" s="5" t="s">
        <v>53</v>
      </c>
      <c r="I11" s="5" t="s">
        <v>47</v>
      </c>
      <c r="J11" s="5" t="s">
        <v>60</v>
      </c>
      <c r="K11" s="6" t="n">
        <v>81.28</v>
      </c>
      <c r="L11" s="5" t="n">
        <v>4</v>
      </c>
      <c r="M11" s="7" t="n">
        <v>0.4</v>
      </c>
      <c r="N11" s="6" t="n">
        <v>-8.02</v>
      </c>
    </row>
    <row r="12" customFormat="false" ht="15" hidden="false" customHeight="false" outlineLevel="0" collapsed="false">
      <c r="A12" s="5" t="s">
        <v>375</v>
      </c>
      <c r="B12" s="5" t="s">
        <v>68</v>
      </c>
      <c r="C12" s="5" t="s">
        <v>50</v>
      </c>
      <c r="D12" s="5" t="s">
        <v>43</v>
      </c>
      <c r="E12" s="5" t="s">
        <v>100</v>
      </c>
      <c r="F12" s="5" t="s">
        <v>101</v>
      </c>
      <c r="G12" s="5" t="n">
        <v>19140</v>
      </c>
      <c r="H12" s="5" t="s">
        <v>46</v>
      </c>
      <c r="I12" s="5" t="s">
        <v>65</v>
      </c>
      <c r="J12" s="5" t="s">
        <v>124</v>
      </c>
      <c r="K12" s="6" t="n">
        <v>53.1</v>
      </c>
      <c r="L12" s="5" t="n">
        <v>3</v>
      </c>
      <c r="M12" s="7" t="n">
        <v>0</v>
      </c>
      <c r="N12" s="6" t="n">
        <v>19.58</v>
      </c>
    </row>
    <row r="13" customFormat="false" ht="15" hidden="false" customHeight="false" outlineLevel="0" collapsed="false">
      <c r="A13" s="5" t="s">
        <v>245</v>
      </c>
      <c r="B13" s="5" t="s">
        <v>83</v>
      </c>
      <c r="C13" s="5" t="s">
        <v>69</v>
      </c>
      <c r="D13" s="5" t="s">
        <v>43</v>
      </c>
      <c r="E13" s="5" t="s">
        <v>79</v>
      </c>
      <c r="F13" s="5" t="s">
        <v>80</v>
      </c>
      <c r="G13" s="5" t="n">
        <v>2127</v>
      </c>
      <c r="H13" s="5" t="s">
        <v>46</v>
      </c>
      <c r="I13" s="5" t="s">
        <v>47</v>
      </c>
      <c r="J13" s="5" t="s">
        <v>48</v>
      </c>
      <c r="K13" s="6" t="n">
        <v>566.33</v>
      </c>
      <c r="L13" s="5" t="n">
        <v>6</v>
      </c>
      <c r="M13" s="7" t="n">
        <v>0</v>
      </c>
      <c r="N13" s="6" t="n">
        <v>45.79</v>
      </c>
    </row>
    <row r="14" customFormat="false" ht="15" hidden="false" customHeight="false" outlineLevel="0" collapsed="false">
      <c r="A14" s="5" t="s">
        <v>235</v>
      </c>
      <c r="B14" s="5" t="s">
        <v>57</v>
      </c>
      <c r="C14" s="5" t="s">
        <v>50</v>
      </c>
      <c r="D14" s="5" t="s">
        <v>43</v>
      </c>
      <c r="E14" s="5" t="s">
        <v>95</v>
      </c>
      <c r="F14" s="5" t="s">
        <v>96</v>
      </c>
      <c r="G14" s="5" t="n">
        <v>97206</v>
      </c>
      <c r="H14" s="5" t="s">
        <v>72</v>
      </c>
      <c r="I14" s="5" t="s">
        <v>65</v>
      </c>
      <c r="J14" s="5" t="s">
        <v>66</v>
      </c>
      <c r="K14" s="6" t="n">
        <v>678.03</v>
      </c>
      <c r="L14" s="5" t="n">
        <v>7</v>
      </c>
      <c r="M14" s="7" t="n">
        <v>0.7</v>
      </c>
      <c r="N14" s="6" t="n">
        <v>-126.57</v>
      </c>
    </row>
    <row r="15" customFormat="false" ht="15" hidden="false" customHeight="false" outlineLevel="0" collapsed="false">
      <c r="A15" s="5" t="s">
        <v>228</v>
      </c>
      <c r="B15" s="5" t="s">
        <v>68</v>
      </c>
      <c r="C15" s="5" t="s">
        <v>42</v>
      </c>
      <c r="D15" s="5" t="s">
        <v>43</v>
      </c>
      <c r="E15" s="5" t="s">
        <v>95</v>
      </c>
      <c r="F15" s="5" t="s">
        <v>96</v>
      </c>
      <c r="G15" s="5" t="n">
        <v>97206</v>
      </c>
      <c r="H15" s="5" t="s">
        <v>72</v>
      </c>
      <c r="I15" s="5" t="s">
        <v>65</v>
      </c>
      <c r="J15" s="5" t="s">
        <v>109</v>
      </c>
      <c r="K15" s="6" t="n">
        <v>64.73</v>
      </c>
      <c r="L15" s="5" t="n">
        <v>3</v>
      </c>
      <c r="M15" s="7" t="n">
        <v>0</v>
      </c>
      <c r="N15" s="6" t="n">
        <v>16.47</v>
      </c>
    </row>
    <row r="16" customFormat="false" ht="15" hidden="false" customHeight="false" outlineLevel="0" collapsed="false">
      <c r="A16" s="5" t="s">
        <v>253</v>
      </c>
      <c r="B16" s="5" t="s">
        <v>41</v>
      </c>
      <c r="C16" s="5" t="s">
        <v>69</v>
      </c>
      <c r="D16" s="5" t="s">
        <v>43</v>
      </c>
      <c r="E16" s="5" t="s">
        <v>91</v>
      </c>
      <c r="F16" s="5" t="s">
        <v>92</v>
      </c>
      <c r="G16" s="5" t="n">
        <v>33311</v>
      </c>
      <c r="H16" s="5" t="s">
        <v>53</v>
      </c>
      <c r="I16" s="5" t="s">
        <v>47</v>
      </c>
      <c r="J16" s="5" t="s">
        <v>60</v>
      </c>
      <c r="K16" s="6" t="n">
        <v>200.22</v>
      </c>
      <c r="L16" s="5" t="n">
        <v>2</v>
      </c>
      <c r="M16" s="7" t="n">
        <v>0.3</v>
      </c>
      <c r="N16" s="6" t="n">
        <v>-0.38</v>
      </c>
    </row>
    <row r="17" customFormat="false" ht="15" hidden="false" customHeight="false" outlineLevel="0" collapsed="false">
      <c r="A17" s="5" t="s">
        <v>213</v>
      </c>
      <c r="B17" s="5" t="s">
        <v>57</v>
      </c>
      <c r="C17" s="5" t="s">
        <v>50</v>
      </c>
      <c r="D17" s="5" t="s">
        <v>43</v>
      </c>
      <c r="E17" s="5" t="s">
        <v>104</v>
      </c>
      <c r="F17" s="5" t="s">
        <v>105</v>
      </c>
      <c r="G17" s="5" t="n">
        <v>28205</v>
      </c>
      <c r="H17" s="5" t="s">
        <v>53</v>
      </c>
      <c r="I17" s="5" t="s">
        <v>47</v>
      </c>
      <c r="J17" s="5" t="s">
        <v>86</v>
      </c>
      <c r="K17" s="6" t="n">
        <v>361.38</v>
      </c>
      <c r="L17" s="5" t="n">
        <v>5</v>
      </c>
      <c r="M17" s="7" t="n">
        <v>0.3</v>
      </c>
      <c r="N17" s="6" t="n">
        <v>-44.12</v>
      </c>
    </row>
    <row r="18" customFormat="false" ht="15" hidden="false" customHeight="false" outlineLevel="0" collapsed="false">
      <c r="A18" s="5" t="s">
        <v>324</v>
      </c>
      <c r="B18" s="5" t="s">
        <v>83</v>
      </c>
      <c r="C18" s="5" t="s">
        <v>50</v>
      </c>
      <c r="D18" s="5" t="s">
        <v>43</v>
      </c>
      <c r="E18" s="5" t="s">
        <v>91</v>
      </c>
      <c r="F18" s="5" t="s">
        <v>92</v>
      </c>
      <c r="G18" s="5" t="n">
        <v>33311</v>
      </c>
      <c r="H18" s="5" t="s">
        <v>53</v>
      </c>
      <c r="I18" s="5" t="s">
        <v>54</v>
      </c>
      <c r="J18" s="5" t="s">
        <v>93</v>
      </c>
      <c r="K18" s="6" t="n">
        <v>202.26</v>
      </c>
      <c r="L18" s="5" t="n">
        <v>2</v>
      </c>
      <c r="M18" s="7" t="n">
        <v>0</v>
      </c>
      <c r="N18" s="6" t="n">
        <v>97.8</v>
      </c>
    </row>
    <row r="19" customFormat="false" ht="15" hidden="false" customHeight="false" outlineLevel="0" collapsed="false">
      <c r="A19" s="5" t="s">
        <v>202</v>
      </c>
      <c r="B19" s="5" t="s">
        <v>68</v>
      </c>
      <c r="C19" s="5" t="s">
        <v>69</v>
      </c>
      <c r="D19" s="5" t="s">
        <v>43</v>
      </c>
      <c r="E19" s="5" t="s">
        <v>95</v>
      </c>
      <c r="F19" s="5" t="s">
        <v>96</v>
      </c>
      <c r="G19" s="5" t="n">
        <v>97206</v>
      </c>
      <c r="H19" s="5" t="s">
        <v>72</v>
      </c>
      <c r="I19" s="5" t="s">
        <v>47</v>
      </c>
      <c r="J19" s="5" t="s">
        <v>48</v>
      </c>
      <c r="K19" s="6" t="n">
        <v>122.56</v>
      </c>
      <c r="L19" s="5" t="n">
        <v>8</v>
      </c>
      <c r="M19" s="7" t="n">
        <v>0.15</v>
      </c>
      <c r="N19" s="6" t="n">
        <v>-3.69</v>
      </c>
    </row>
    <row r="20" customFormat="false" ht="15" hidden="false" customHeight="false" outlineLevel="0" collapsed="false">
      <c r="A20" s="5" t="s">
        <v>317</v>
      </c>
      <c r="B20" s="5" t="s">
        <v>68</v>
      </c>
      <c r="C20" s="5" t="s">
        <v>42</v>
      </c>
      <c r="D20" s="5" t="s">
        <v>43</v>
      </c>
      <c r="E20" s="5" t="s">
        <v>75</v>
      </c>
      <c r="F20" s="5" t="s">
        <v>76</v>
      </c>
      <c r="G20" s="5" t="n">
        <v>60610</v>
      </c>
      <c r="H20" s="5" t="s">
        <v>64</v>
      </c>
      <c r="I20" s="5" t="s">
        <v>54</v>
      </c>
      <c r="J20" s="5" t="s">
        <v>73</v>
      </c>
      <c r="K20" s="6" t="n">
        <v>428.13</v>
      </c>
      <c r="L20" s="5" t="n">
        <v>4</v>
      </c>
      <c r="M20" s="7" t="n">
        <v>0</v>
      </c>
      <c r="N20" s="6" t="n">
        <v>146.83</v>
      </c>
    </row>
    <row r="21" customFormat="false" ht="15" hidden="false" customHeight="false" outlineLevel="0" collapsed="false">
      <c r="A21" s="5" t="s">
        <v>264</v>
      </c>
      <c r="B21" s="5" t="s">
        <v>83</v>
      </c>
      <c r="C21" s="5" t="s">
        <v>50</v>
      </c>
      <c r="D21" s="5" t="s">
        <v>43</v>
      </c>
      <c r="E21" s="5" t="s">
        <v>176</v>
      </c>
      <c r="F21" s="5" t="s">
        <v>177</v>
      </c>
      <c r="G21" s="5" t="n">
        <v>55407</v>
      </c>
      <c r="H21" s="5" t="s">
        <v>64</v>
      </c>
      <c r="I21" s="5" t="s">
        <v>47</v>
      </c>
      <c r="J21" s="5" t="s">
        <v>60</v>
      </c>
      <c r="K21" s="6" t="n">
        <v>102.09</v>
      </c>
      <c r="L21" s="5" t="n">
        <v>1</v>
      </c>
      <c r="M21" s="7" t="n">
        <v>0.1</v>
      </c>
      <c r="N21" s="6" t="n">
        <v>12.86</v>
      </c>
    </row>
    <row r="22" customFormat="false" ht="15" hidden="false" customHeight="false" outlineLevel="0" collapsed="false">
      <c r="A22" s="5" t="s">
        <v>147</v>
      </c>
      <c r="B22" s="5" t="s">
        <v>41</v>
      </c>
      <c r="C22" s="5" t="s">
        <v>50</v>
      </c>
      <c r="D22" s="5" t="s">
        <v>43</v>
      </c>
      <c r="E22" s="5" t="s">
        <v>100</v>
      </c>
      <c r="F22" s="5" t="s">
        <v>101</v>
      </c>
      <c r="G22" s="5" t="n">
        <v>19140</v>
      </c>
      <c r="H22" s="5" t="s">
        <v>46</v>
      </c>
      <c r="I22" s="5" t="s">
        <v>47</v>
      </c>
      <c r="J22" s="5" t="s">
        <v>48</v>
      </c>
      <c r="K22" s="6" t="n">
        <v>278.77</v>
      </c>
      <c r="L22" s="5" t="n">
        <v>3</v>
      </c>
      <c r="M22" s="7" t="n">
        <v>0</v>
      </c>
      <c r="N22" s="6" t="n">
        <v>25.13</v>
      </c>
    </row>
    <row r="23" customFormat="false" ht="15" hidden="false" customHeight="false" outlineLevel="0" collapsed="false">
      <c r="A23" s="5" t="s">
        <v>232</v>
      </c>
      <c r="B23" s="5" t="s">
        <v>68</v>
      </c>
      <c r="C23" s="5" t="s">
        <v>42</v>
      </c>
      <c r="D23" s="5" t="s">
        <v>43</v>
      </c>
      <c r="E23" s="5" t="s">
        <v>70</v>
      </c>
      <c r="F23" s="5" t="s">
        <v>71</v>
      </c>
      <c r="G23" s="5" t="n">
        <v>80219</v>
      </c>
      <c r="H23" s="5" t="s">
        <v>72</v>
      </c>
      <c r="I23" s="5" t="s">
        <v>54</v>
      </c>
      <c r="J23" s="5" t="s">
        <v>73</v>
      </c>
      <c r="K23" s="6" t="n">
        <v>93.2</v>
      </c>
      <c r="L23" s="5" t="n">
        <v>6</v>
      </c>
      <c r="M23" s="7" t="n">
        <v>0.2</v>
      </c>
      <c r="N23" s="6" t="n">
        <v>-11.54</v>
      </c>
    </row>
    <row r="24" customFormat="false" ht="15" hidden="false" customHeight="false" outlineLevel="0" collapsed="false">
      <c r="A24" s="5" t="s">
        <v>359</v>
      </c>
      <c r="B24" s="5" t="s">
        <v>41</v>
      </c>
      <c r="C24" s="5" t="s">
        <v>50</v>
      </c>
      <c r="D24" s="5" t="s">
        <v>43</v>
      </c>
      <c r="E24" s="5" t="s">
        <v>176</v>
      </c>
      <c r="F24" s="5" t="s">
        <v>177</v>
      </c>
      <c r="G24" s="5" t="n">
        <v>55407</v>
      </c>
      <c r="H24" s="5" t="s">
        <v>64</v>
      </c>
      <c r="I24" s="5" t="s">
        <v>65</v>
      </c>
      <c r="J24" s="5" t="s">
        <v>138</v>
      </c>
      <c r="K24" s="6" t="n">
        <v>102.37</v>
      </c>
      <c r="L24" s="5" t="n">
        <v>3</v>
      </c>
      <c r="M24" s="7" t="n">
        <v>0.15</v>
      </c>
      <c r="N24" s="6" t="n">
        <v>16.51</v>
      </c>
    </row>
    <row r="25" customFormat="false" ht="15" hidden="false" customHeight="false" outlineLevel="0" collapsed="false">
      <c r="A25" s="5" t="s">
        <v>307</v>
      </c>
      <c r="B25" s="5" t="s">
        <v>41</v>
      </c>
      <c r="C25" s="5" t="s">
        <v>42</v>
      </c>
      <c r="D25" s="5" t="s">
        <v>43</v>
      </c>
      <c r="E25" s="5" t="s">
        <v>91</v>
      </c>
      <c r="F25" s="5" t="s">
        <v>92</v>
      </c>
      <c r="G25" s="5" t="n">
        <v>33311</v>
      </c>
      <c r="H25" s="5" t="s">
        <v>53</v>
      </c>
      <c r="I25" s="5" t="s">
        <v>47</v>
      </c>
      <c r="J25" s="5" t="s">
        <v>84</v>
      </c>
      <c r="K25" s="6" t="n">
        <v>257.91</v>
      </c>
      <c r="L25" s="5" t="n">
        <v>3</v>
      </c>
      <c r="M25" s="7" t="n">
        <v>0</v>
      </c>
      <c r="N25" s="6" t="n">
        <v>4.21</v>
      </c>
    </row>
    <row r="26" customFormat="false" ht="15" hidden="false" customHeight="false" outlineLevel="0" collapsed="false">
      <c r="A26" s="5" t="s">
        <v>261</v>
      </c>
      <c r="B26" s="5" t="s">
        <v>68</v>
      </c>
      <c r="C26" s="5" t="s">
        <v>69</v>
      </c>
      <c r="D26" s="5" t="s">
        <v>43</v>
      </c>
      <c r="E26" s="5" t="s">
        <v>112</v>
      </c>
      <c r="F26" s="5" t="s">
        <v>63</v>
      </c>
      <c r="G26" s="5" t="n">
        <v>75217</v>
      </c>
      <c r="H26" s="5" t="s">
        <v>64</v>
      </c>
      <c r="I26" s="5" t="s">
        <v>47</v>
      </c>
      <c r="J26" s="5" t="s">
        <v>84</v>
      </c>
      <c r="K26" s="6" t="n">
        <v>78.26</v>
      </c>
      <c r="L26" s="5" t="n">
        <v>3</v>
      </c>
      <c r="M26" s="7" t="n">
        <v>0.1</v>
      </c>
      <c r="N26" s="6" t="n">
        <v>-6.92</v>
      </c>
    </row>
    <row r="27" customFormat="false" ht="15" hidden="false" customHeight="false" outlineLevel="0" collapsed="false">
      <c r="A27" s="5" t="s">
        <v>143</v>
      </c>
      <c r="B27" s="5" t="s">
        <v>83</v>
      </c>
      <c r="C27" s="5" t="s">
        <v>50</v>
      </c>
      <c r="D27" s="5" t="s">
        <v>43</v>
      </c>
      <c r="E27" s="5" t="s">
        <v>62</v>
      </c>
      <c r="F27" s="5" t="s">
        <v>63</v>
      </c>
      <c r="G27" s="5" t="n">
        <v>77095</v>
      </c>
      <c r="H27" s="5" t="s">
        <v>64</v>
      </c>
      <c r="I27" s="5" t="s">
        <v>47</v>
      </c>
      <c r="J27" s="5" t="s">
        <v>84</v>
      </c>
      <c r="K27" s="6" t="n">
        <v>171.24</v>
      </c>
      <c r="L27" s="5" t="n">
        <v>6</v>
      </c>
      <c r="M27" s="7" t="n">
        <v>0.7</v>
      </c>
      <c r="N27" s="6" t="n">
        <v>25.15</v>
      </c>
    </row>
    <row r="28" customFormat="false" ht="15" hidden="false" customHeight="false" outlineLevel="0" collapsed="false">
      <c r="A28" s="5" t="s">
        <v>345</v>
      </c>
      <c r="B28" s="5" t="s">
        <v>41</v>
      </c>
      <c r="C28" s="5" t="s">
        <v>42</v>
      </c>
      <c r="D28" s="5" t="s">
        <v>43</v>
      </c>
      <c r="E28" s="5" t="s">
        <v>112</v>
      </c>
      <c r="F28" s="5" t="s">
        <v>63</v>
      </c>
      <c r="G28" s="5" t="n">
        <v>75217</v>
      </c>
      <c r="H28" s="5" t="s">
        <v>64</v>
      </c>
      <c r="I28" s="5" t="s">
        <v>65</v>
      </c>
      <c r="J28" s="5" t="s">
        <v>81</v>
      </c>
      <c r="K28" s="6" t="n">
        <v>179.91</v>
      </c>
      <c r="L28" s="5" t="n">
        <v>8</v>
      </c>
      <c r="M28" s="7" t="n">
        <v>0.2</v>
      </c>
      <c r="N28" s="6" t="n">
        <v>27.77</v>
      </c>
    </row>
    <row r="29" customFormat="false" ht="15" hidden="false" customHeight="false" outlineLevel="0" collapsed="false">
      <c r="A29" s="5" t="s">
        <v>162</v>
      </c>
      <c r="B29" s="5" t="s">
        <v>83</v>
      </c>
      <c r="C29" s="5" t="s">
        <v>42</v>
      </c>
      <c r="D29" s="5" t="s">
        <v>43</v>
      </c>
      <c r="E29" s="5" t="s">
        <v>100</v>
      </c>
      <c r="F29" s="5" t="s">
        <v>101</v>
      </c>
      <c r="G29" s="5" t="n">
        <v>19140</v>
      </c>
      <c r="H29" s="5" t="s">
        <v>46</v>
      </c>
      <c r="I29" s="5" t="s">
        <v>65</v>
      </c>
      <c r="J29" s="5" t="s">
        <v>133</v>
      </c>
      <c r="K29" s="6" t="n">
        <v>16.19</v>
      </c>
      <c r="L29" s="5" t="n">
        <v>7</v>
      </c>
      <c r="M29" s="7" t="n">
        <v>0</v>
      </c>
      <c r="N29" s="6" t="n">
        <v>-0.15</v>
      </c>
    </row>
    <row r="30" customFormat="false" ht="15" hidden="false" customHeight="false" outlineLevel="0" collapsed="false">
      <c r="A30" s="5" t="s">
        <v>304</v>
      </c>
      <c r="B30" s="5" t="s">
        <v>68</v>
      </c>
      <c r="C30" s="5" t="s">
        <v>50</v>
      </c>
      <c r="D30" s="5" t="s">
        <v>43</v>
      </c>
      <c r="E30" s="5" t="s">
        <v>112</v>
      </c>
      <c r="F30" s="5" t="s">
        <v>63</v>
      </c>
      <c r="G30" s="5" t="n">
        <v>75217</v>
      </c>
      <c r="H30" s="5" t="s">
        <v>64</v>
      </c>
      <c r="I30" s="5" t="s">
        <v>65</v>
      </c>
      <c r="J30" s="5" t="s">
        <v>120</v>
      </c>
      <c r="K30" s="6" t="n">
        <v>20.74</v>
      </c>
      <c r="L30" s="5" t="n">
        <v>7</v>
      </c>
      <c r="M30" s="7" t="n">
        <v>0.7</v>
      </c>
      <c r="N30" s="6" t="n">
        <v>1.68</v>
      </c>
    </row>
    <row r="31" customFormat="false" ht="15" hidden="false" customHeight="false" outlineLevel="0" collapsed="false">
      <c r="A31" s="5" t="s">
        <v>387</v>
      </c>
      <c r="B31" s="5" t="s">
        <v>83</v>
      </c>
      <c r="C31" s="5" t="s">
        <v>42</v>
      </c>
      <c r="D31" s="5" t="s">
        <v>43</v>
      </c>
      <c r="E31" s="5" t="s">
        <v>114</v>
      </c>
      <c r="F31" s="5" t="s">
        <v>115</v>
      </c>
      <c r="G31" s="5" t="n">
        <v>90036</v>
      </c>
      <c r="H31" s="5" t="s">
        <v>72</v>
      </c>
      <c r="I31" s="5" t="s">
        <v>54</v>
      </c>
      <c r="J31" s="5" t="s">
        <v>55</v>
      </c>
      <c r="K31" s="6" t="n">
        <v>1542.39</v>
      </c>
      <c r="L31" s="5" t="n">
        <v>6</v>
      </c>
      <c r="M31" s="7" t="n">
        <v>0</v>
      </c>
      <c r="N31" s="6" t="n">
        <v>565.44</v>
      </c>
    </row>
    <row r="32" customFormat="false" ht="15" hidden="false" customHeight="false" outlineLevel="0" collapsed="false">
      <c r="A32" s="5" t="s">
        <v>285</v>
      </c>
      <c r="B32" s="5" t="s">
        <v>41</v>
      </c>
      <c r="C32" s="5" t="s">
        <v>69</v>
      </c>
      <c r="D32" s="5" t="s">
        <v>43</v>
      </c>
      <c r="E32" s="5" t="s">
        <v>107</v>
      </c>
      <c r="F32" s="5" t="s">
        <v>108</v>
      </c>
      <c r="G32" s="5" t="n">
        <v>7102</v>
      </c>
      <c r="H32" s="5" t="s">
        <v>46</v>
      </c>
      <c r="I32" s="5" t="s">
        <v>65</v>
      </c>
      <c r="J32" s="5" t="s">
        <v>120</v>
      </c>
      <c r="K32" s="6" t="n">
        <v>10.35</v>
      </c>
      <c r="L32" s="5" t="n">
        <v>2</v>
      </c>
      <c r="M32" s="7" t="n">
        <v>0.7</v>
      </c>
      <c r="N32" s="6" t="n">
        <v>-0.89</v>
      </c>
    </row>
    <row r="33" customFormat="false" ht="15" hidden="false" customHeight="false" outlineLevel="0" collapsed="false">
      <c r="A33" s="5" t="s">
        <v>139</v>
      </c>
      <c r="B33" s="5" t="s">
        <v>68</v>
      </c>
      <c r="C33" s="5" t="s">
        <v>42</v>
      </c>
      <c r="D33" s="5" t="s">
        <v>43</v>
      </c>
      <c r="E33" s="5" t="s">
        <v>104</v>
      </c>
      <c r="F33" s="5" t="s">
        <v>105</v>
      </c>
      <c r="G33" s="5" t="n">
        <v>28205</v>
      </c>
      <c r="H33" s="5" t="s">
        <v>53</v>
      </c>
      <c r="I33" s="5" t="s">
        <v>65</v>
      </c>
      <c r="J33" s="5" t="s">
        <v>133</v>
      </c>
      <c r="K33" s="6" t="n">
        <v>39.65</v>
      </c>
      <c r="L33" s="5" t="n">
        <v>3</v>
      </c>
      <c r="M33" s="7" t="n">
        <v>0.15</v>
      </c>
      <c r="N33" s="6" t="n">
        <v>13.42</v>
      </c>
    </row>
    <row r="34" customFormat="false" ht="15" hidden="false" customHeight="false" outlineLevel="0" collapsed="false">
      <c r="A34" s="5" t="s">
        <v>238</v>
      </c>
      <c r="B34" s="5" t="s">
        <v>41</v>
      </c>
      <c r="C34" s="5" t="s">
        <v>42</v>
      </c>
      <c r="D34" s="5" t="s">
        <v>43</v>
      </c>
      <c r="E34" s="5" t="s">
        <v>95</v>
      </c>
      <c r="F34" s="5" t="s">
        <v>96</v>
      </c>
      <c r="G34" s="5" t="n">
        <v>97206</v>
      </c>
      <c r="H34" s="5" t="s">
        <v>72</v>
      </c>
      <c r="I34" s="5" t="s">
        <v>47</v>
      </c>
      <c r="J34" s="5" t="s">
        <v>84</v>
      </c>
      <c r="K34" s="6" t="n">
        <v>34.92</v>
      </c>
      <c r="L34" s="5" t="n">
        <v>5</v>
      </c>
      <c r="M34" s="7" t="n">
        <v>0.3</v>
      </c>
      <c r="N34" s="6" t="n">
        <v>-9.04</v>
      </c>
    </row>
    <row r="35" customFormat="false" ht="15" hidden="false" customHeight="false" outlineLevel="0" collapsed="false">
      <c r="A35" s="5" t="s">
        <v>258</v>
      </c>
      <c r="B35" s="5" t="s">
        <v>41</v>
      </c>
      <c r="C35" s="5" t="s">
        <v>42</v>
      </c>
      <c r="D35" s="5" t="s">
        <v>43</v>
      </c>
      <c r="E35" s="5" t="s">
        <v>62</v>
      </c>
      <c r="F35" s="5" t="s">
        <v>63</v>
      </c>
      <c r="G35" s="5" t="n">
        <v>77095</v>
      </c>
      <c r="H35" s="5" t="s">
        <v>64</v>
      </c>
      <c r="I35" s="5" t="s">
        <v>54</v>
      </c>
      <c r="J35" s="5" t="s">
        <v>77</v>
      </c>
      <c r="K35" s="6" t="n">
        <v>35.29</v>
      </c>
      <c r="L35" s="5" t="n">
        <v>6</v>
      </c>
      <c r="M35" s="7" t="n">
        <v>0.2</v>
      </c>
      <c r="N35" s="6" t="n">
        <v>11.61</v>
      </c>
    </row>
    <row r="36" customFormat="false" ht="15" hidden="false" customHeight="false" outlineLevel="0" collapsed="false">
      <c r="A36" s="5" t="s">
        <v>243</v>
      </c>
      <c r="B36" s="5" t="s">
        <v>41</v>
      </c>
      <c r="C36" s="5" t="s">
        <v>69</v>
      </c>
      <c r="D36" s="5" t="s">
        <v>43</v>
      </c>
      <c r="E36" s="5" t="s">
        <v>112</v>
      </c>
      <c r="F36" s="5" t="s">
        <v>63</v>
      </c>
      <c r="G36" s="5" t="n">
        <v>75217</v>
      </c>
      <c r="H36" s="5" t="s">
        <v>64</v>
      </c>
      <c r="I36" s="5" t="s">
        <v>54</v>
      </c>
      <c r="J36" s="5" t="s">
        <v>93</v>
      </c>
      <c r="K36" s="6" t="n">
        <v>275.64</v>
      </c>
      <c r="L36" s="5" t="n">
        <v>9</v>
      </c>
      <c r="M36" s="7" t="n">
        <v>0.4</v>
      </c>
      <c r="N36" s="6" t="n">
        <v>54.56</v>
      </c>
    </row>
    <row r="37" customFormat="false" ht="15" hidden="false" customHeight="false" outlineLevel="0" collapsed="false">
      <c r="A37" s="5" t="s">
        <v>329</v>
      </c>
      <c r="B37" s="5" t="s">
        <v>57</v>
      </c>
      <c r="C37" s="5" t="s">
        <v>42</v>
      </c>
      <c r="D37" s="5" t="s">
        <v>43</v>
      </c>
      <c r="E37" s="5" t="s">
        <v>107</v>
      </c>
      <c r="F37" s="5" t="s">
        <v>108</v>
      </c>
      <c r="G37" s="5" t="n">
        <v>7102</v>
      </c>
      <c r="H37" s="5" t="s">
        <v>46</v>
      </c>
      <c r="I37" s="5" t="s">
        <v>54</v>
      </c>
      <c r="J37" s="5" t="s">
        <v>77</v>
      </c>
      <c r="K37" s="6" t="n">
        <v>277.83</v>
      </c>
      <c r="L37" s="5" t="n">
        <v>4</v>
      </c>
      <c r="M37" s="7" t="n">
        <v>0.4</v>
      </c>
      <c r="N37" s="6" t="n">
        <v>57.1</v>
      </c>
    </row>
    <row r="38" customFormat="false" ht="15" hidden="false" customHeight="false" outlineLevel="0" collapsed="false">
      <c r="A38" s="5" t="s">
        <v>192</v>
      </c>
      <c r="B38" s="5" t="s">
        <v>57</v>
      </c>
      <c r="C38" s="5" t="s">
        <v>50</v>
      </c>
      <c r="D38" s="5" t="s">
        <v>43</v>
      </c>
      <c r="E38" s="5" t="s">
        <v>62</v>
      </c>
      <c r="F38" s="5" t="s">
        <v>63</v>
      </c>
      <c r="G38" s="5" t="n">
        <v>77095</v>
      </c>
      <c r="H38" s="5" t="s">
        <v>64</v>
      </c>
      <c r="I38" s="5" t="s">
        <v>54</v>
      </c>
      <c r="J38" s="5" t="s">
        <v>73</v>
      </c>
      <c r="K38" s="6" t="n">
        <v>133.36</v>
      </c>
      <c r="L38" s="5" t="n">
        <v>6</v>
      </c>
      <c r="M38" s="7" t="n">
        <v>0.2</v>
      </c>
      <c r="N38" s="6" t="n">
        <v>42.12</v>
      </c>
    </row>
    <row r="39" customFormat="false" ht="15" hidden="false" customHeight="false" outlineLevel="0" collapsed="false">
      <c r="A39" s="5" t="s">
        <v>323</v>
      </c>
      <c r="B39" s="5" t="s">
        <v>83</v>
      </c>
      <c r="C39" s="5" t="s">
        <v>50</v>
      </c>
      <c r="D39" s="5" t="s">
        <v>43</v>
      </c>
      <c r="E39" s="5" t="s">
        <v>51</v>
      </c>
      <c r="F39" s="5" t="s">
        <v>52</v>
      </c>
      <c r="G39" s="5" t="n">
        <v>37211</v>
      </c>
      <c r="H39" s="5" t="s">
        <v>53</v>
      </c>
      <c r="I39" s="5" t="s">
        <v>47</v>
      </c>
      <c r="J39" s="5" t="s">
        <v>84</v>
      </c>
      <c r="K39" s="6" t="n">
        <v>26.75</v>
      </c>
      <c r="L39" s="5" t="n">
        <v>3</v>
      </c>
      <c r="M39" s="7" t="n">
        <v>0.1</v>
      </c>
      <c r="N39" s="6" t="n">
        <v>-2.59</v>
      </c>
    </row>
    <row r="40" customFormat="false" ht="15" hidden="false" customHeight="false" outlineLevel="0" collapsed="false">
      <c r="A40" s="5" t="s">
        <v>134</v>
      </c>
      <c r="B40" s="5" t="s">
        <v>57</v>
      </c>
      <c r="C40" s="5" t="s">
        <v>50</v>
      </c>
      <c r="D40" s="5" t="s">
        <v>43</v>
      </c>
      <c r="E40" s="5" t="s">
        <v>75</v>
      </c>
      <c r="F40" s="5" t="s">
        <v>76</v>
      </c>
      <c r="G40" s="5" t="n">
        <v>60610</v>
      </c>
      <c r="H40" s="5" t="s">
        <v>64</v>
      </c>
      <c r="I40" s="5" t="s">
        <v>47</v>
      </c>
      <c r="J40" s="5" t="s">
        <v>86</v>
      </c>
      <c r="K40" s="6" t="n">
        <v>35.06</v>
      </c>
      <c r="L40" s="5" t="n">
        <v>3</v>
      </c>
      <c r="M40" s="7" t="n">
        <v>0.1</v>
      </c>
      <c r="N40" s="6" t="n">
        <v>1.15</v>
      </c>
    </row>
    <row r="41" customFormat="false" ht="15" hidden="false" customHeight="false" outlineLevel="0" collapsed="false">
      <c r="A41" s="5" t="s">
        <v>250</v>
      </c>
      <c r="B41" s="5" t="s">
        <v>68</v>
      </c>
      <c r="C41" s="5" t="s">
        <v>42</v>
      </c>
      <c r="D41" s="5" t="s">
        <v>43</v>
      </c>
      <c r="E41" s="5" t="s">
        <v>176</v>
      </c>
      <c r="F41" s="5" t="s">
        <v>177</v>
      </c>
      <c r="G41" s="5" t="n">
        <v>55407</v>
      </c>
      <c r="H41" s="5" t="s">
        <v>64</v>
      </c>
      <c r="I41" s="5" t="s">
        <v>65</v>
      </c>
      <c r="J41" s="5" t="s">
        <v>66</v>
      </c>
      <c r="K41" s="6" t="n">
        <v>13.05</v>
      </c>
      <c r="L41" s="5" t="n">
        <v>9</v>
      </c>
      <c r="M41" s="7" t="n">
        <v>0.2</v>
      </c>
      <c r="N41" s="6" t="n">
        <v>3.1</v>
      </c>
    </row>
    <row r="42" customFormat="false" ht="15" hidden="false" customHeight="false" outlineLevel="0" collapsed="false">
      <c r="A42" s="5" t="s">
        <v>339</v>
      </c>
      <c r="B42" s="5" t="s">
        <v>83</v>
      </c>
      <c r="C42" s="5" t="s">
        <v>69</v>
      </c>
      <c r="D42" s="5" t="s">
        <v>43</v>
      </c>
      <c r="E42" s="5" t="s">
        <v>62</v>
      </c>
      <c r="F42" s="5" t="s">
        <v>63</v>
      </c>
      <c r="G42" s="5" t="n">
        <v>77095</v>
      </c>
      <c r="H42" s="5" t="s">
        <v>64</v>
      </c>
      <c r="I42" s="5" t="s">
        <v>54</v>
      </c>
      <c r="J42" s="5" t="s">
        <v>77</v>
      </c>
      <c r="K42" s="6" t="n">
        <v>888.46</v>
      </c>
      <c r="L42" s="5" t="n">
        <v>9</v>
      </c>
      <c r="M42" s="7" t="n">
        <v>0.5</v>
      </c>
      <c r="N42" s="6" t="n">
        <v>114.03</v>
      </c>
    </row>
    <row r="43" customFormat="false" ht="15" hidden="false" customHeight="false" outlineLevel="0" collapsed="false">
      <c r="A43" s="5" t="s">
        <v>137</v>
      </c>
      <c r="B43" s="5" t="s">
        <v>68</v>
      </c>
      <c r="C43" s="5" t="s">
        <v>42</v>
      </c>
      <c r="D43" s="5" t="s">
        <v>43</v>
      </c>
      <c r="E43" s="5" t="s">
        <v>91</v>
      </c>
      <c r="F43" s="5" t="s">
        <v>92</v>
      </c>
      <c r="G43" s="5" t="n">
        <v>33311</v>
      </c>
      <c r="H43" s="5" t="s">
        <v>53</v>
      </c>
      <c r="I43" s="5" t="s">
        <v>65</v>
      </c>
      <c r="J43" s="5" t="s">
        <v>138</v>
      </c>
      <c r="K43" s="6" t="n">
        <v>73.2</v>
      </c>
      <c r="L43" s="5" t="n">
        <v>3</v>
      </c>
      <c r="M43" s="7" t="n">
        <v>0</v>
      </c>
      <c r="N43" s="6" t="n">
        <v>22.48</v>
      </c>
    </row>
    <row r="44" customFormat="false" ht="15" hidden="false" customHeight="false" outlineLevel="0" collapsed="false">
      <c r="A44" s="5" t="s">
        <v>99</v>
      </c>
      <c r="B44" s="5" t="s">
        <v>68</v>
      </c>
      <c r="C44" s="5" t="s">
        <v>50</v>
      </c>
      <c r="D44" s="5" t="s">
        <v>43</v>
      </c>
      <c r="E44" s="5" t="s">
        <v>100</v>
      </c>
      <c r="F44" s="5" t="s">
        <v>101</v>
      </c>
      <c r="G44" s="5" t="n">
        <v>19140</v>
      </c>
      <c r="H44" s="5" t="s">
        <v>46</v>
      </c>
      <c r="I44" s="5" t="s">
        <v>54</v>
      </c>
      <c r="J44" s="5" t="s">
        <v>73</v>
      </c>
      <c r="K44" s="6" t="n">
        <v>132.99</v>
      </c>
      <c r="L44" s="5" t="n">
        <v>6</v>
      </c>
      <c r="M44" s="7" t="n">
        <v>0.7</v>
      </c>
      <c r="N44" s="6" t="n">
        <v>3.34</v>
      </c>
    </row>
    <row r="45" customFormat="false" ht="15" hidden="false" customHeight="false" outlineLevel="0" collapsed="false">
      <c r="A45" s="5" t="s">
        <v>185</v>
      </c>
      <c r="B45" s="5" t="s">
        <v>57</v>
      </c>
      <c r="C45" s="5" t="s">
        <v>50</v>
      </c>
      <c r="D45" s="5" t="s">
        <v>43</v>
      </c>
      <c r="E45" s="5" t="s">
        <v>112</v>
      </c>
      <c r="F45" s="5" t="s">
        <v>63</v>
      </c>
      <c r="G45" s="5" t="n">
        <v>75217</v>
      </c>
      <c r="H45" s="5" t="s">
        <v>64</v>
      </c>
      <c r="I45" s="5" t="s">
        <v>54</v>
      </c>
      <c r="J45" s="5" t="s">
        <v>93</v>
      </c>
      <c r="K45" s="6" t="n">
        <v>158.48</v>
      </c>
      <c r="L45" s="5" t="n">
        <v>7</v>
      </c>
      <c r="M45" s="7" t="n">
        <v>0.5</v>
      </c>
      <c r="N45" s="6" t="n">
        <v>25.84</v>
      </c>
    </row>
    <row r="46" customFormat="false" ht="15" hidden="false" customHeight="false" outlineLevel="0" collapsed="false">
      <c r="A46" s="5" t="s">
        <v>390</v>
      </c>
      <c r="B46" s="5" t="s">
        <v>68</v>
      </c>
      <c r="C46" s="5" t="s">
        <v>50</v>
      </c>
      <c r="D46" s="5" t="s">
        <v>43</v>
      </c>
      <c r="E46" s="5" t="s">
        <v>176</v>
      </c>
      <c r="F46" s="5" t="s">
        <v>177</v>
      </c>
      <c r="G46" s="5" t="n">
        <v>55407</v>
      </c>
      <c r="H46" s="5" t="s">
        <v>64</v>
      </c>
      <c r="I46" s="5" t="s">
        <v>47</v>
      </c>
      <c r="J46" s="5" t="s">
        <v>84</v>
      </c>
      <c r="K46" s="6" t="n">
        <v>132.95</v>
      </c>
      <c r="L46" s="5" t="n">
        <v>4</v>
      </c>
      <c r="M46" s="7" t="n">
        <v>0.2</v>
      </c>
      <c r="N46" s="6" t="n">
        <v>-23.97</v>
      </c>
    </row>
    <row r="47" customFormat="false" ht="15" hidden="false" customHeight="false" outlineLevel="0" collapsed="false">
      <c r="A47" s="5" t="s">
        <v>303</v>
      </c>
      <c r="B47" s="5" t="s">
        <v>41</v>
      </c>
      <c r="C47" s="5" t="s">
        <v>42</v>
      </c>
      <c r="D47" s="5" t="s">
        <v>43</v>
      </c>
      <c r="E47" s="5" t="s">
        <v>51</v>
      </c>
      <c r="F47" s="5" t="s">
        <v>52</v>
      </c>
      <c r="G47" s="5" t="n">
        <v>37211</v>
      </c>
      <c r="H47" s="5" t="s">
        <v>53</v>
      </c>
      <c r="I47" s="5" t="s">
        <v>65</v>
      </c>
      <c r="J47" s="5" t="s">
        <v>133</v>
      </c>
      <c r="K47" s="6" t="n">
        <v>140.26</v>
      </c>
      <c r="L47" s="5" t="n">
        <v>4</v>
      </c>
      <c r="M47" s="7" t="n">
        <v>0</v>
      </c>
      <c r="N47" s="6" t="n">
        <v>48.7</v>
      </c>
    </row>
    <row r="48" customFormat="false" ht="15" hidden="false" customHeight="false" outlineLevel="0" collapsed="false">
      <c r="A48" s="5" t="s">
        <v>270</v>
      </c>
      <c r="B48" s="5" t="s">
        <v>83</v>
      </c>
      <c r="C48" s="5" t="s">
        <v>69</v>
      </c>
      <c r="D48" s="5" t="s">
        <v>43</v>
      </c>
      <c r="E48" s="5" t="s">
        <v>91</v>
      </c>
      <c r="F48" s="5" t="s">
        <v>92</v>
      </c>
      <c r="G48" s="5" t="n">
        <v>33311</v>
      </c>
      <c r="H48" s="5" t="s">
        <v>53</v>
      </c>
      <c r="I48" s="5" t="s">
        <v>54</v>
      </c>
      <c r="J48" s="5" t="s">
        <v>73</v>
      </c>
      <c r="K48" s="6" t="n">
        <v>152.08</v>
      </c>
      <c r="L48" s="5" t="n">
        <v>6</v>
      </c>
      <c r="M48" s="7" t="n">
        <v>0.7</v>
      </c>
      <c r="N48" s="6" t="n">
        <v>2.97</v>
      </c>
    </row>
    <row r="49" customFormat="false" ht="15" hidden="false" customHeight="false" outlineLevel="0" collapsed="false">
      <c r="A49" s="5" t="s">
        <v>231</v>
      </c>
      <c r="B49" s="5" t="s">
        <v>68</v>
      </c>
      <c r="C49" s="5" t="s">
        <v>69</v>
      </c>
      <c r="D49" s="5" t="s">
        <v>43</v>
      </c>
      <c r="E49" s="5" t="s">
        <v>79</v>
      </c>
      <c r="F49" s="5" t="s">
        <v>80</v>
      </c>
      <c r="G49" s="5" t="n">
        <v>2127</v>
      </c>
      <c r="H49" s="5" t="s">
        <v>46</v>
      </c>
      <c r="I49" s="5" t="s">
        <v>47</v>
      </c>
      <c r="J49" s="5" t="s">
        <v>60</v>
      </c>
      <c r="K49" s="6" t="n">
        <v>188.13</v>
      </c>
      <c r="L49" s="5" t="n">
        <v>6</v>
      </c>
      <c r="M49" s="7" t="n">
        <v>0</v>
      </c>
      <c r="N49" s="6" t="n">
        <v>34.07</v>
      </c>
    </row>
    <row r="50" customFormat="false" ht="15" hidden="false" customHeight="false" outlineLevel="0" collapsed="false">
      <c r="A50" s="5" t="s">
        <v>349</v>
      </c>
      <c r="B50" s="5" t="s">
        <v>68</v>
      </c>
      <c r="C50" s="5" t="s">
        <v>69</v>
      </c>
      <c r="D50" s="5" t="s">
        <v>43</v>
      </c>
      <c r="E50" s="5" t="s">
        <v>70</v>
      </c>
      <c r="F50" s="5" t="s">
        <v>71</v>
      </c>
      <c r="G50" s="5" t="n">
        <v>80219</v>
      </c>
      <c r="H50" s="5" t="s">
        <v>72</v>
      </c>
      <c r="I50" s="5" t="s">
        <v>54</v>
      </c>
      <c r="J50" s="5" t="s">
        <v>55</v>
      </c>
      <c r="K50" s="6" t="n">
        <v>20.99</v>
      </c>
      <c r="L50" s="5" t="n">
        <v>2</v>
      </c>
      <c r="M50" s="7" t="n">
        <v>0</v>
      </c>
      <c r="N50" s="6" t="n">
        <v>8.49</v>
      </c>
    </row>
    <row r="51" customFormat="false" ht="15" hidden="false" customHeight="false" outlineLevel="0" collapsed="false">
      <c r="A51" s="5" t="s">
        <v>198</v>
      </c>
      <c r="B51" s="5" t="s">
        <v>41</v>
      </c>
      <c r="C51" s="5" t="s">
        <v>69</v>
      </c>
      <c r="D51" s="5" t="s">
        <v>43</v>
      </c>
      <c r="E51" s="5" t="s">
        <v>176</v>
      </c>
      <c r="F51" s="5" t="s">
        <v>177</v>
      </c>
      <c r="G51" s="5" t="n">
        <v>55407</v>
      </c>
      <c r="H51" s="5" t="s">
        <v>64</v>
      </c>
      <c r="I51" s="5" t="s">
        <v>54</v>
      </c>
      <c r="J51" s="5" t="s">
        <v>93</v>
      </c>
      <c r="K51" s="6" t="n">
        <v>421.68</v>
      </c>
      <c r="L51" s="5" t="n">
        <v>2</v>
      </c>
      <c r="M51" s="7" t="n">
        <v>0.4</v>
      </c>
      <c r="N51" s="6" t="n">
        <v>98.38</v>
      </c>
    </row>
    <row r="52" customFormat="false" ht="15" hidden="false" customHeight="false" outlineLevel="0" collapsed="false">
      <c r="A52" s="5" t="s">
        <v>246</v>
      </c>
      <c r="B52" s="5" t="s">
        <v>57</v>
      </c>
      <c r="C52" s="5" t="s">
        <v>50</v>
      </c>
      <c r="D52" s="5" t="s">
        <v>43</v>
      </c>
      <c r="E52" s="5" t="s">
        <v>176</v>
      </c>
      <c r="F52" s="5" t="s">
        <v>177</v>
      </c>
      <c r="G52" s="5" t="n">
        <v>55407</v>
      </c>
      <c r="H52" s="5" t="s">
        <v>64</v>
      </c>
      <c r="I52" s="5" t="s">
        <v>54</v>
      </c>
      <c r="J52" s="5" t="s">
        <v>55</v>
      </c>
      <c r="K52" s="6" t="n">
        <v>116.91</v>
      </c>
      <c r="L52" s="5" t="n">
        <v>8</v>
      </c>
      <c r="M52" s="7" t="n">
        <v>0.2</v>
      </c>
      <c r="N52" s="6" t="n">
        <v>28.91</v>
      </c>
    </row>
    <row r="53" customFormat="false" ht="15" hidden="false" customHeight="false" outlineLevel="0" collapsed="false">
      <c r="A53" s="5" t="s">
        <v>151</v>
      </c>
      <c r="B53" s="5" t="s">
        <v>57</v>
      </c>
      <c r="C53" s="5" t="s">
        <v>50</v>
      </c>
      <c r="D53" s="5" t="s">
        <v>43</v>
      </c>
      <c r="E53" s="5" t="s">
        <v>75</v>
      </c>
      <c r="F53" s="5" t="s">
        <v>76</v>
      </c>
      <c r="G53" s="5" t="n">
        <v>60610</v>
      </c>
      <c r="H53" s="5" t="s">
        <v>64</v>
      </c>
      <c r="I53" s="5" t="s">
        <v>47</v>
      </c>
      <c r="J53" s="5" t="s">
        <v>48</v>
      </c>
      <c r="K53" s="6" t="n">
        <v>154.56</v>
      </c>
      <c r="L53" s="5" t="n">
        <v>4</v>
      </c>
      <c r="M53" s="7" t="n">
        <v>0.3</v>
      </c>
      <c r="N53" s="6" t="n">
        <v>-18.32</v>
      </c>
    </row>
    <row r="54" customFormat="false" ht="15" hidden="false" customHeight="false" outlineLevel="0" collapsed="false">
      <c r="A54" s="5" t="s">
        <v>40</v>
      </c>
      <c r="B54" s="5" t="s">
        <v>41</v>
      </c>
      <c r="C54" s="5" t="s">
        <v>42</v>
      </c>
      <c r="D54" s="5" t="s">
        <v>43</v>
      </c>
      <c r="E54" s="5" t="s">
        <v>44</v>
      </c>
      <c r="F54" s="5" t="s">
        <v>45</v>
      </c>
      <c r="G54" s="5" t="n">
        <v>10011</v>
      </c>
      <c r="H54" s="5" t="s">
        <v>46</v>
      </c>
      <c r="I54" s="5" t="s">
        <v>47</v>
      </c>
      <c r="J54" s="5" t="s">
        <v>48</v>
      </c>
      <c r="K54" s="6" t="n">
        <v>143.63</v>
      </c>
      <c r="L54" s="5" t="n">
        <v>4</v>
      </c>
      <c r="M54" s="7" t="n">
        <v>0.1</v>
      </c>
      <c r="N54" s="6" t="n">
        <v>3.49</v>
      </c>
    </row>
    <row r="55" customFormat="false" ht="15" hidden="false" customHeight="false" outlineLevel="0" collapsed="false">
      <c r="A55" s="5" t="s">
        <v>210</v>
      </c>
      <c r="B55" s="5" t="s">
        <v>41</v>
      </c>
      <c r="C55" s="5" t="s">
        <v>42</v>
      </c>
      <c r="D55" s="5" t="s">
        <v>43</v>
      </c>
      <c r="E55" s="5" t="s">
        <v>58</v>
      </c>
      <c r="F55" s="5" t="s">
        <v>59</v>
      </c>
      <c r="G55" s="5" t="n">
        <v>30318</v>
      </c>
      <c r="H55" s="5" t="s">
        <v>53</v>
      </c>
      <c r="I55" s="5" t="s">
        <v>65</v>
      </c>
      <c r="J55" s="5" t="s">
        <v>109</v>
      </c>
      <c r="K55" s="6" t="n">
        <v>25.31</v>
      </c>
      <c r="L55" s="5" t="n">
        <v>7</v>
      </c>
      <c r="M55" s="7" t="n">
        <v>0.2</v>
      </c>
      <c r="N55" s="6" t="n">
        <v>4.83</v>
      </c>
    </row>
    <row r="56" customFormat="false" ht="15" hidden="false" customHeight="false" outlineLevel="0" collapsed="false">
      <c r="A56" s="5" t="s">
        <v>335</v>
      </c>
      <c r="B56" s="5" t="s">
        <v>83</v>
      </c>
      <c r="C56" s="5" t="s">
        <v>42</v>
      </c>
      <c r="D56" s="5" t="s">
        <v>43</v>
      </c>
      <c r="E56" s="5" t="s">
        <v>118</v>
      </c>
      <c r="F56" s="5" t="s">
        <v>119</v>
      </c>
      <c r="G56" s="5" t="n">
        <v>98103</v>
      </c>
      <c r="H56" s="5" t="s">
        <v>72</v>
      </c>
      <c r="I56" s="5" t="s">
        <v>65</v>
      </c>
      <c r="J56" s="5" t="s">
        <v>120</v>
      </c>
      <c r="K56" s="6" t="n">
        <v>156.46</v>
      </c>
      <c r="L56" s="5" t="n">
        <v>7</v>
      </c>
      <c r="M56" s="7" t="n">
        <v>0</v>
      </c>
      <c r="N56" s="6" t="n">
        <v>55.66</v>
      </c>
    </row>
    <row r="57" customFormat="false" ht="15" hidden="false" customHeight="false" outlineLevel="0" collapsed="false">
      <c r="A57" s="5" t="s">
        <v>144</v>
      </c>
      <c r="B57" s="5" t="s">
        <v>68</v>
      </c>
      <c r="C57" s="5" t="s">
        <v>42</v>
      </c>
      <c r="D57" s="5" t="s">
        <v>43</v>
      </c>
      <c r="E57" s="5" t="s">
        <v>104</v>
      </c>
      <c r="F57" s="5" t="s">
        <v>105</v>
      </c>
      <c r="G57" s="5" t="n">
        <v>28205</v>
      </c>
      <c r="H57" s="5" t="s">
        <v>53</v>
      </c>
      <c r="I57" s="5" t="s">
        <v>65</v>
      </c>
      <c r="J57" s="5" t="s">
        <v>122</v>
      </c>
      <c r="K57" s="6" t="n">
        <v>11.27</v>
      </c>
      <c r="L57" s="5" t="n">
        <v>3</v>
      </c>
      <c r="M57" s="7" t="n">
        <v>0.2</v>
      </c>
      <c r="N57" s="6" t="n">
        <v>2.53</v>
      </c>
    </row>
    <row r="58" customFormat="false" ht="15" hidden="false" customHeight="false" outlineLevel="0" collapsed="false">
      <c r="A58" s="5" t="s">
        <v>268</v>
      </c>
      <c r="B58" s="5" t="s">
        <v>57</v>
      </c>
      <c r="C58" s="5" t="s">
        <v>42</v>
      </c>
      <c r="D58" s="5" t="s">
        <v>43</v>
      </c>
      <c r="E58" s="5" t="s">
        <v>114</v>
      </c>
      <c r="F58" s="5" t="s">
        <v>115</v>
      </c>
      <c r="G58" s="5" t="n">
        <v>90036</v>
      </c>
      <c r="H58" s="5" t="s">
        <v>72</v>
      </c>
      <c r="I58" s="5" t="s">
        <v>54</v>
      </c>
      <c r="J58" s="5" t="s">
        <v>77</v>
      </c>
      <c r="K58" s="6" t="n">
        <v>138.2</v>
      </c>
      <c r="L58" s="5" t="n">
        <v>7</v>
      </c>
      <c r="M58" s="7" t="n">
        <v>0</v>
      </c>
      <c r="N58" s="6" t="n">
        <v>68.38</v>
      </c>
    </row>
    <row r="59" customFormat="false" ht="15" hidden="false" customHeight="false" outlineLevel="0" collapsed="false">
      <c r="A59" s="5" t="s">
        <v>132</v>
      </c>
      <c r="B59" s="5" t="s">
        <v>41</v>
      </c>
      <c r="C59" s="5" t="s">
        <v>69</v>
      </c>
      <c r="D59" s="5" t="s">
        <v>43</v>
      </c>
      <c r="E59" s="5" t="s">
        <v>100</v>
      </c>
      <c r="F59" s="5" t="s">
        <v>101</v>
      </c>
      <c r="G59" s="5" t="n">
        <v>19140</v>
      </c>
      <c r="H59" s="5" t="s">
        <v>46</v>
      </c>
      <c r="I59" s="5" t="s">
        <v>65</v>
      </c>
      <c r="J59" s="5" t="s">
        <v>133</v>
      </c>
      <c r="K59" s="6" t="n">
        <v>25.16</v>
      </c>
      <c r="L59" s="5" t="n">
        <v>9</v>
      </c>
      <c r="M59" s="7" t="n">
        <v>0.4</v>
      </c>
      <c r="N59" s="6" t="n">
        <v>5.62</v>
      </c>
    </row>
    <row r="60" customFormat="false" ht="15" hidden="false" customHeight="false" outlineLevel="0" collapsed="false">
      <c r="A60" s="5" t="s">
        <v>142</v>
      </c>
      <c r="B60" s="5" t="s">
        <v>68</v>
      </c>
      <c r="C60" s="5" t="s">
        <v>69</v>
      </c>
      <c r="D60" s="5" t="s">
        <v>43</v>
      </c>
      <c r="E60" s="5" t="s">
        <v>62</v>
      </c>
      <c r="F60" s="5" t="s">
        <v>63</v>
      </c>
      <c r="G60" s="5" t="n">
        <v>77095</v>
      </c>
      <c r="H60" s="5" t="s">
        <v>64</v>
      </c>
      <c r="I60" s="5" t="s">
        <v>65</v>
      </c>
      <c r="J60" s="5" t="s">
        <v>133</v>
      </c>
      <c r="K60" s="6" t="n">
        <v>95.53</v>
      </c>
      <c r="L60" s="5" t="n">
        <v>9</v>
      </c>
      <c r="M60" s="7" t="n">
        <v>0.7</v>
      </c>
      <c r="N60" s="6" t="n">
        <v>-1.62</v>
      </c>
    </row>
    <row r="61" customFormat="false" ht="15" hidden="false" customHeight="false" outlineLevel="0" collapsed="false">
      <c r="A61" s="5" t="s">
        <v>260</v>
      </c>
      <c r="B61" s="5" t="s">
        <v>41</v>
      </c>
      <c r="C61" s="5" t="s">
        <v>69</v>
      </c>
      <c r="D61" s="5" t="s">
        <v>43</v>
      </c>
      <c r="E61" s="5" t="s">
        <v>95</v>
      </c>
      <c r="F61" s="5" t="s">
        <v>96</v>
      </c>
      <c r="G61" s="5" t="n">
        <v>97206</v>
      </c>
      <c r="H61" s="5" t="s">
        <v>72</v>
      </c>
      <c r="I61" s="5" t="s">
        <v>65</v>
      </c>
      <c r="J61" s="5" t="s">
        <v>88</v>
      </c>
      <c r="K61" s="6" t="n">
        <v>119.98</v>
      </c>
      <c r="L61" s="5" t="n">
        <v>6</v>
      </c>
      <c r="M61" s="7" t="n">
        <v>0.3</v>
      </c>
      <c r="N61" s="6" t="n">
        <v>15.68</v>
      </c>
    </row>
    <row r="62" customFormat="false" ht="15" hidden="false" customHeight="false" outlineLevel="0" collapsed="false">
      <c r="A62" s="5" t="s">
        <v>74</v>
      </c>
      <c r="B62" s="5" t="s">
        <v>57</v>
      </c>
      <c r="C62" s="5" t="s">
        <v>69</v>
      </c>
      <c r="D62" s="5" t="s">
        <v>43</v>
      </c>
      <c r="E62" s="5" t="s">
        <v>75</v>
      </c>
      <c r="F62" s="5" t="s">
        <v>76</v>
      </c>
      <c r="G62" s="5" t="n">
        <v>60610</v>
      </c>
      <c r="H62" s="5" t="s">
        <v>64</v>
      </c>
      <c r="I62" s="5" t="s">
        <v>54</v>
      </c>
      <c r="J62" s="5" t="s">
        <v>77</v>
      </c>
      <c r="K62" s="6" t="n">
        <v>99.88</v>
      </c>
      <c r="L62" s="5" t="n">
        <v>1</v>
      </c>
      <c r="M62" s="7" t="n">
        <v>0.4</v>
      </c>
      <c r="N62" s="6" t="n">
        <v>29.44</v>
      </c>
    </row>
    <row r="63" customFormat="false" ht="15" hidden="false" customHeight="false" outlineLevel="0" collapsed="false">
      <c r="A63" s="5" t="s">
        <v>397</v>
      </c>
      <c r="B63" s="5" t="s">
        <v>83</v>
      </c>
      <c r="C63" s="5" t="s">
        <v>42</v>
      </c>
      <c r="D63" s="5" t="s">
        <v>43</v>
      </c>
      <c r="E63" s="5" t="s">
        <v>118</v>
      </c>
      <c r="F63" s="5" t="s">
        <v>119</v>
      </c>
      <c r="G63" s="5" t="n">
        <v>98103</v>
      </c>
      <c r="H63" s="5" t="s">
        <v>72</v>
      </c>
      <c r="I63" s="5" t="s">
        <v>54</v>
      </c>
      <c r="J63" s="5" t="s">
        <v>73</v>
      </c>
      <c r="K63" s="6" t="n">
        <v>30.09</v>
      </c>
      <c r="L63" s="5" t="n">
        <v>3</v>
      </c>
      <c r="M63" s="7" t="n">
        <v>0.5</v>
      </c>
      <c r="N63" s="6" t="n">
        <v>3.69</v>
      </c>
    </row>
    <row r="64" customFormat="false" ht="15" hidden="false" customHeight="false" outlineLevel="0" collapsed="false">
      <c r="A64" s="5" t="s">
        <v>308</v>
      </c>
      <c r="B64" s="5" t="s">
        <v>83</v>
      </c>
      <c r="C64" s="5" t="s">
        <v>50</v>
      </c>
      <c r="D64" s="5" t="s">
        <v>43</v>
      </c>
      <c r="E64" s="5" t="s">
        <v>91</v>
      </c>
      <c r="F64" s="5" t="s">
        <v>92</v>
      </c>
      <c r="G64" s="5" t="n">
        <v>33311</v>
      </c>
      <c r="H64" s="5" t="s">
        <v>53</v>
      </c>
      <c r="I64" s="5" t="s">
        <v>54</v>
      </c>
      <c r="J64" s="5" t="s">
        <v>73</v>
      </c>
      <c r="K64" s="6" t="n">
        <v>243.6</v>
      </c>
      <c r="L64" s="5" t="n">
        <v>9</v>
      </c>
      <c r="M64" s="7" t="n">
        <v>0.2</v>
      </c>
      <c r="N64" s="6" t="n">
        <v>57.99</v>
      </c>
    </row>
    <row r="65" customFormat="false" ht="15" hidden="false" customHeight="false" outlineLevel="0" collapsed="false">
      <c r="A65" s="5" t="s">
        <v>90</v>
      </c>
      <c r="B65" s="5" t="s">
        <v>57</v>
      </c>
      <c r="C65" s="5" t="s">
        <v>69</v>
      </c>
      <c r="D65" s="5" t="s">
        <v>43</v>
      </c>
      <c r="E65" s="5" t="s">
        <v>91</v>
      </c>
      <c r="F65" s="5" t="s">
        <v>92</v>
      </c>
      <c r="G65" s="5" t="n">
        <v>33311</v>
      </c>
      <c r="H65" s="5" t="s">
        <v>53</v>
      </c>
      <c r="I65" s="5" t="s">
        <v>54</v>
      </c>
      <c r="J65" s="5" t="s">
        <v>93</v>
      </c>
      <c r="K65" s="6" t="n">
        <v>53.73</v>
      </c>
      <c r="L65" s="5" t="n">
        <v>8</v>
      </c>
      <c r="M65" s="7" t="n">
        <v>0</v>
      </c>
      <c r="N65" s="6" t="n">
        <v>23.81</v>
      </c>
    </row>
    <row r="66" customFormat="false" ht="15" hidden="false" customHeight="false" outlineLevel="0" collapsed="false">
      <c r="A66" s="5" t="s">
        <v>172</v>
      </c>
      <c r="B66" s="5" t="s">
        <v>68</v>
      </c>
      <c r="C66" s="5" t="s">
        <v>42</v>
      </c>
      <c r="D66" s="5" t="s">
        <v>43</v>
      </c>
      <c r="E66" s="5" t="s">
        <v>112</v>
      </c>
      <c r="F66" s="5" t="s">
        <v>63</v>
      </c>
      <c r="G66" s="5" t="n">
        <v>75217</v>
      </c>
      <c r="H66" s="5" t="s">
        <v>64</v>
      </c>
      <c r="I66" s="5" t="s">
        <v>47</v>
      </c>
      <c r="J66" s="5" t="s">
        <v>86</v>
      </c>
      <c r="K66" s="6" t="n">
        <v>282.15</v>
      </c>
      <c r="L66" s="5" t="n">
        <v>6</v>
      </c>
      <c r="M66" s="7" t="n">
        <v>0.2</v>
      </c>
      <c r="N66" s="6" t="n">
        <v>-35.68</v>
      </c>
    </row>
    <row r="67" customFormat="false" ht="15" hidden="false" customHeight="false" outlineLevel="0" collapsed="false">
      <c r="A67" s="5" t="s">
        <v>205</v>
      </c>
      <c r="B67" s="5" t="s">
        <v>83</v>
      </c>
      <c r="C67" s="5" t="s">
        <v>69</v>
      </c>
      <c r="D67" s="5" t="s">
        <v>43</v>
      </c>
      <c r="E67" s="5" t="s">
        <v>112</v>
      </c>
      <c r="F67" s="5" t="s">
        <v>63</v>
      </c>
      <c r="G67" s="5" t="n">
        <v>75217</v>
      </c>
      <c r="H67" s="5" t="s">
        <v>64</v>
      </c>
      <c r="I67" s="5" t="s">
        <v>54</v>
      </c>
      <c r="J67" s="5" t="s">
        <v>93</v>
      </c>
      <c r="K67" s="6" t="n">
        <v>33.95</v>
      </c>
      <c r="L67" s="5" t="n">
        <v>6</v>
      </c>
      <c r="M67" s="7" t="n">
        <v>0</v>
      </c>
      <c r="N67" s="6" t="n">
        <v>9.94</v>
      </c>
    </row>
    <row r="68" customFormat="false" ht="15" hidden="false" customHeight="false" outlineLevel="0" collapsed="false">
      <c r="A68" s="5" t="s">
        <v>135</v>
      </c>
      <c r="B68" s="5" t="s">
        <v>41</v>
      </c>
      <c r="C68" s="5" t="s">
        <v>50</v>
      </c>
      <c r="D68" s="5" t="s">
        <v>43</v>
      </c>
      <c r="E68" s="5" t="s">
        <v>79</v>
      </c>
      <c r="F68" s="5" t="s">
        <v>80</v>
      </c>
      <c r="G68" s="5" t="n">
        <v>2127</v>
      </c>
      <c r="H68" s="5" t="s">
        <v>46</v>
      </c>
      <c r="I68" s="5" t="s">
        <v>54</v>
      </c>
      <c r="J68" s="5" t="s">
        <v>55</v>
      </c>
      <c r="K68" s="6" t="n">
        <v>116.99</v>
      </c>
      <c r="L68" s="5" t="n">
        <v>4</v>
      </c>
      <c r="M68" s="7" t="n">
        <v>0.1</v>
      </c>
      <c r="N68" s="6" t="n">
        <v>30.73</v>
      </c>
    </row>
    <row r="69" customFormat="false" ht="15" hidden="false" customHeight="false" outlineLevel="0" collapsed="false">
      <c r="A69" s="5" t="s">
        <v>188</v>
      </c>
      <c r="B69" s="5" t="s">
        <v>83</v>
      </c>
      <c r="C69" s="5" t="s">
        <v>42</v>
      </c>
      <c r="D69" s="5" t="s">
        <v>43</v>
      </c>
      <c r="E69" s="5" t="s">
        <v>70</v>
      </c>
      <c r="F69" s="5" t="s">
        <v>71</v>
      </c>
      <c r="G69" s="5" t="n">
        <v>80219</v>
      </c>
      <c r="H69" s="5" t="s">
        <v>72</v>
      </c>
      <c r="I69" s="5" t="s">
        <v>65</v>
      </c>
      <c r="J69" s="5" t="s">
        <v>109</v>
      </c>
      <c r="K69" s="6" t="n">
        <v>140.3</v>
      </c>
      <c r="L69" s="5" t="n">
        <v>7</v>
      </c>
      <c r="M69" s="7" t="n">
        <v>0.1</v>
      </c>
      <c r="N69" s="6" t="n">
        <v>37.73</v>
      </c>
    </row>
    <row r="70" customFormat="false" ht="15" hidden="false" customHeight="false" outlineLevel="0" collapsed="false">
      <c r="A70" s="5" t="s">
        <v>126</v>
      </c>
      <c r="B70" s="5" t="s">
        <v>41</v>
      </c>
      <c r="C70" s="5" t="s">
        <v>42</v>
      </c>
      <c r="D70" s="5" t="s">
        <v>43</v>
      </c>
      <c r="E70" s="5" t="s">
        <v>44</v>
      </c>
      <c r="F70" s="5" t="s">
        <v>45</v>
      </c>
      <c r="G70" s="5" t="n">
        <v>10011</v>
      </c>
      <c r="H70" s="5" t="s">
        <v>46</v>
      </c>
      <c r="I70" s="5" t="s">
        <v>47</v>
      </c>
      <c r="J70" s="5" t="s">
        <v>60</v>
      </c>
      <c r="K70" s="6" t="n">
        <v>200</v>
      </c>
      <c r="L70" s="5" t="n">
        <v>5</v>
      </c>
      <c r="M70" s="7" t="n">
        <v>0</v>
      </c>
      <c r="N70" s="6" t="n">
        <v>23.68</v>
      </c>
    </row>
    <row r="71" customFormat="false" ht="15" hidden="false" customHeight="false" outlineLevel="0" collapsed="false">
      <c r="A71" s="5" t="s">
        <v>265</v>
      </c>
      <c r="B71" s="5" t="s">
        <v>68</v>
      </c>
      <c r="C71" s="5" t="s">
        <v>50</v>
      </c>
      <c r="D71" s="5" t="s">
        <v>43</v>
      </c>
      <c r="E71" s="5" t="s">
        <v>70</v>
      </c>
      <c r="F71" s="5" t="s">
        <v>71</v>
      </c>
      <c r="G71" s="5" t="n">
        <v>80219</v>
      </c>
      <c r="H71" s="5" t="s">
        <v>72</v>
      </c>
      <c r="I71" s="5" t="s">
        <v>65</v>
      </c>
      <c r="J71" s="5" t="s">
        <v>109</v>
      </c>
      <c r="K71" s="6" t="n">
        <v>61.14</v>
      </c>
      <c r="L71" s="5" t="n">
        <v>2</v>
      </c>
      <c r="M71" s="7" t="n">
        <v>0.1</v>
      </c>
      <c r="N71" s="6" t="n">
        <v>17.17</v>
      </c>
    </row>
    <row r="72" customFormat="false" ht="15" hidden="false" customHeight="false" outlineLevel="0" collapsed="false">
      <c r="A72" s="5" t="s">
        <v>222</v>
      </c>
      <c r="B72" s="5" t="s">
        <v>57</v>
      </c>
      <c r="C72" s="5" t="s">
        <v>42</v>
      </c>
      <c r="D72" s="5" t="s">
        <v>43</v>
      </c>
      <c r="E72" s="5" t="s">
        <v>107</v>
      </c>
      <c r="F72" s="5" t="s">
        <v>108</v>
      </c>
      <c r="G72" s="5" t="n">
        <v>7102</v>
      </c>
      <c r="H72" s="5" t="s">
        <v>46</v>
      </c>
      <c r="I72" s="5" t="s">
        <v>54</v>
      </c>
      <c r="J72" s="5" t="s">
        <v>77</v>
      </c>
      <c r="K72" s="6" t="n">
        <v>46.5</v>
      </c>
      <c r="L72" s="5" t="n">
        <v>6</v>
      </c>
      <c r="M72" s="7" t="n">
        <v>0</v>
      </c>
      <c r="N72" s="6" t="n">
        <v>20.59</v>
      </c>
    </row>
    <row r="73" customFormat="false" ht="15" hidden="false" customHeight="false" outlineLevel="0" collapsed="false">
      <c r="A73" s="5" t="s">
        <v>121</v>
      </c>
      <c r="B73" s="5" t="s">
        <v>83</v>
      </c>
      <c r="C73" s="5" t="s">
        <v>42</v>
      </c>
      <c r="D73" s="5" t="s">
        <v>43</v>
      </c>
      <c r="E73" s="5" t="s">
        <v>112</v>
      </c>
      <c r="F73" s="5" t="s">
        <v>63</v>
      </c>
      <c r="G73" s="5" t="n">
        <v>75217</v>
      </c>
      <c r="H73" s="5" t="s">
        <v>64</v>
      </c>
      <c r="I73" s="5" t="s">
        <v>65</v>
      </c>
      <c r="J73" s="5" t="s">
        <v>122</v>
      </c>
      <c r="K73" s="6" t="n">
        <v>55.61</v>
      </c>
      <c r="L73" s="5" t="n">
        <v>4</v>
      </c>
      <c r="M73" s="7" t="n">
        <v>0</v>
      </c>
      <c r="N73" s="6" t="n">
        <v>20.27</v>
      </c>
    </row>
    <row r="74" customFormat="false" ht="15" hidden="false" customHeight="false" outlineLevel="0" collapsed="false">
      <c r="A74" s="5" t="s">
        <v>368</v>
      </c>
      <c r="B74" s="5" t="s">
        <v>57</v>
      </c>
      <c r="C74" s="5" t="s">
        <v>69</v>
      </c>
      <c r="D74" s="5" t="s">
        <v>43</v>
      </c>
      <c r="E74" s="5" t="s">
        <v>104</v>
      </c>
      <c r="F74" s="5" t="s">
        <v>105</v>
      </c>
      <c r="G74" s="5" t="n">
        <v>28205</v>
      </c>
      <c r="H74" s="5" t="s">
        <v>53</v>
      </c>
      <c r="I74" s="5" t="s">
        <v>54</v>
      </c>
      <c r="J74" s="5" t="s">
        <v>93</v>
      </c>
      <c r="K74" s="6" t="n">
        <v>161.23</v>
      </c>
      <c r="L74" s="5" t="n">
        <v>8</v>
      </c>
      <c r="M74" s="7" t="n">
        <v>0</v>
      </c>
      <c r="N74" s="6" t="n">
        <v>86.19</v>
      </c>
    </row>
    <row r="75" customFormat="false" ht="15" hidden="false" customHeight="false" outlineLevel="0" collapsed="false">
      <c r="A75" s="5" t="s">
        <v>346</v>
      </c>
      <c r="B75" s="5" t="s">
        <v>68</v>
      </c>
      <c r="C75" s="5" t="s">
        <v>42</v>
      </c>
      <c r="D75" s="5" t="s">
        <v>43</v>
      </c>
      <c r="E75" s="5" t="s">
        <v>104</v>
      </c>
      <c r="F75" s="5" t="s">
        <v>105</v>
      </c>
      <c r="G75" s="5" t="n">
        <v>28205</v>
      </c>
      <c r="H75" s="5" t="s">
        <v>53</v>
      </c>
      <c r="I75" s="5" t="s">
        <v>47</v>
      </c>
      <c r="J75" s="5" t="s">
        <v>86</v>
      </c>
      <c r="K75" s="6" t="n">
        <v>900.42</v>
      </c>
      <c r="L75" s="5" t="n">
        <v>5</v>
      </c>
      <c r="M75" s="7" t="n">
        <v>0.4</v>
      </c>
      <c r="N75" s="6" t="n">
        <v>-174.48</v>
      </c>
    </row>
    <row r="76" customFormat="false" ht="15" hidden="false" customHeight="false" outlineLevel="0" collapsed="false">
      <c r="A76" s="5" t="s">
        <v>355</v>
      </c>
      <c r="B76" s="5" t="s">
        <v>68</v>
      </c>
      <c r="C76" s="5" t="s">
        <v>50</v>
      </c>
      <c r="D76" s="5" t="s">
        <v>43</v>
      </c>
      <c r="E76" s="5" t="s">
        <v>91</v>
      </c>
      <c r="F76" s="5" t="s">
        <v>92</v>
      </c>
      <c r="G76" s="5" t="n">
        <v>33311</v>
      </c>
      <c r="H76" s="5" t="s">
        <v>53</v>
      </c>
      <c r="I76" s="5" t="s">
        <v>54</v>
      </c>
      <c r="J76" s="5" t="s">
        <v>55</v>
      </c>
      <c r="K76" s="6" t="n">
        <v>140.12</v>
      </c>
      <c r="L76" s="5" t="n">
        <v>9</v>
      </c>
      <c r="M76" s="7" t="n">
        <v>0.1</v>
      </c>
      <c r="N76" s="6" t="n">
        <v>51.56</v>
      </c>
    </row>
    <row r="77" customFormat="false" ht="15" hidden="false" customHeight="false" outlineLevel="0" collapsed="false">
      <c r="A77" s="5" t="s">
        <v>106</v>
      </c>
      <c r="B77" s="5" t="s">
        <v>83</v>
      </c>
      <c r="C77" s="5" t="s">
        <v>42</v>
      </c>
      <c r="D77" s="5" t="s">
        <v>43</v>
      </c>
      <c r="E77" s="5" t="s">
        <v>107</v>
      </c>
      <c r="F77" s="5" t="s">
        <v>108</v>
      </c>
      <c r="G77" s="5" t="n">
        <v>7102</v>
      </c>
      <c r="H77" s="5" t="s">
        <v>46</v>
      </c>
      <c r="I77" s="5" t="s">
        <v>65</v>
      </c>
      <c r="J77" s="5" t="s">
        <v>109</v>
      </c>
      <c r="K77" s="6" t="n">
        <v>40.63</v>
      </c>
      <c r="L77" s="5" t="n">
        <v>2</v>
      </c>
      <c r="M77" s="7" t="n">
        <v>0.5</v>
      </c>
      <c r="N77" s="6" t="n">
        <v>-3.42</v>
      </c>
    </row>
    <row r="78" customFormat="false" ht="15" hidden="false" customHeight="false" outlineLevel="0" collapsed="false">
      <c r="A78" s="5" t="s">
        <v>159</v>
      </c>
      <c r="B78" s="5" t="s">
        <v>83</v>
      </c>
      <c r="C78" s="5" t="s">
        <v>50</v>
      </c>
      <c r="D78" s="5" t="s">
        <v>43</v>
      </c>
      <c r="E78" s="5" t="s">
        <v>58</v>
      </c>
      <c r="F78" s="5" t="s">
        <v>59</v>
      </c>
      <c r="G78" s="5" t="n">
        <v>30318</v>
      </c>
      <c r="H78" s="5" t="s">
        <v>53</v>
      </c>
      <c r="I78" s="5" t="s">
        <v>54</v>
      </c>
      <c r="J78" s="5" t="s">
        <v>93</v>
      </c>
      <c r="K78" s="6" t="n">
        <v>253.9</v>
      </c>
      <c r="L78" s="5" t="n">
        <v>8</v>
      </c>
      <c r="M78" s="7" t="n">
        <v>0.7</v>
      </c>
      <c r="N78" s="6" t="n">
        <v>26.11</v>
      </c>
    </row>
    <row r="79" customFormat="false" ht="15" hidden="false" customHeight="false" outlineLevel="0" collapsed="false">
      <c r="A79" s="5" t="s">
        <v>342</v>
      </c>
      <c r="B79" s="5" t="s">
        <v>68</v>
      </c>
      <c r="C79" s="5" t="s">
        <v>42</v>
      </c>
      <c r="D79" s="5" t="s">
        <v>43</v>
      </c>
      <c r="E79" s="5" t="s">
        <v>70</v>
      </c>
      <c r="F79" s="5" t="s">
        <v>71</v>
      </c>
      <c r="G79" s="5" t="n">
        <v>80219</v>
      </c>
      <c r="H79" s="5" t="s">
        <v>72</v>
      </c>
      <c r="I79" s="5" t="s">
        <v>54</v>
      </c>
      <c r="J79" s="5" t="s">
        <v>77</v>
      </c>
      <c r="K79" s="6" t="n">
        <v>142.6</v>
      </c>
      <c r="L79" s="5" t="n">
        <v>8</v>
      </c>
      <c r="M79" s="7" t="n">
        <v>0</v>
      </c>
      <c r="N79" s="6" t="n">
        <v>75.45</v>
      </c>
    </row>
    <row r="80" customFormat="false" ht="15" hidden="false" customHeight="false" outlineLevel="0" collapsed="false">
      <c r="A80" s="5" t="s">
        <v>309</v>
      </c>
      <c r="B80" s="5" t="s">
        <v>83</v>
      </c>
      <c r="C80" s="5" t="s">
        <v>42</v>
      </c>
      <c r="D80" s="5" t="s">
        <v>43</v>
      </c>
      <c r="E80" s="5" t="s">
        <v>100</v>
      </c>
      <c r="F80" s="5" t="s">
        <v>101</v>
      </c>
      <c r="G80" s="5" t="n">
        <v>19140</v>
      </c>
      <c r="H80" s="5" t="s">
        <v>46</v>
      </c>
      <c r="I80" s="5" t="s">
        <v>47</v>
      </c>
      <c r="J80" s="5" t="s">
        <v>86</v>
      </c>
      <c r="K80" s="6" t="n">
        <v>174.23</v>
      </c>
      <c r="L80" s="5" t="n">
        <v>7</v>
      </c>
      <c r="M80" s="7" t="n">
        <v>0.7</v>
      </c>
      <c r="N80" s="6" t="n">
        <v>-82.55</v>
      </c>
    </row>
    <row r="81" customFormat="false" ht="15" hidden="false" customHeight="false" outlineLevel="0" collapsed="false">
      <c r="A81" s="5" t="s">
        <v>175</v>
      </c>
      <c r="B81" s="5" t="s">
        <v>83</v>
      </c>
      <c r="C81" s="5" t="s">
        <v>50</v>
      </c>
      <c r="D81" s="5" t="s">
        <v>43</v>
      </c>
      <c r="E81" s="5" t="s">
        <v>176</v>
      </c>
      <c r="F81" s="5" t="s">
        <v>177</v>
      </c>
      <c r="G81" s="5" t="n">
        <v>55407</v>
      </c>
      <c r="H81" s="5" t="s">
        <v>64</v>
      </c>
      <c r="I81" s="5" t="s">
        <v>65</v>
      </c>
      <c r="J81" s="5" t="s">
        <v>133</v>
      </c>
      <c r="K81" s="6" t="n">
        <v>108.88</v>
      </c>
      <c r="L81" s="5" t="n">
        <v>5</v>
      </c>
      <c r="M81" s="7" t="n">
        <v>0.2</v>
      </c>
      <c r="N81" s="6" t="n">
        <v>34.1</v>
      </c>
    </row>
    <row r="82" customFormat="false" ht="15" hidden="false" customHeight="false" outlineLevel="0" collapsed="false">
      <c r="A82" s="5" t="s">
        <v>195</v>
      </c>
      <c r="B82" s="5" t="s">
        <v>83</v>
      </c>
      <c r="C82" s="5" t="s">
        <v>69</v>
      </c>
      <c r="D82" s="5" t="s">
        <v>43</v>
      </c>
      <c r="E82" s="5" t="s">
        <v>58</v>
      </c>
      <c r="F82" s="5" t="s">
        <v>59</v>
      </c>
      <c r="G82" s="5" t="n">
        <v>30318</v>
      </c>
      <c r="H82" s="5" t="s">
        <v>53</v>
      </c>
      <c r="I82" s="5" t="s">
        <v>54</v>
      </c>
      <c r="J82" s="5" t="s">
        <v>55</v>
      </c>
      <c r="K82" s="6" t="n">
        <v>75.14</v>
      </c>
      <c r="L82" s="5" t="n">
        <v>2</v>
      </c>
      <c r="M82" s="7" t="n">
        <v>0.5</v>
      </c>
      <c r="N82" s="6" t="n">
        <v>6.25</v>
      </c>
    </row>
    <row r="83" customFormat="false" ht="15" hidden="false" customHeight="false" outlineLevel="0" collapsed="false">
      <c r="A83" s="5" t="s">
        <v>219</v>
      </c>
      <c r="B83" s="5" t="s">
        <v>83</v>
      </c>
      <c r="C83" s="5" t="s">
        <v>50</v>
      </c>
      <c r="D83" s="5" t="s">
        <v>43</v>
      </c>
      <c r="E83" s="5" t="s">
        <v>44</v>
      </c>
      <c r="F83" s="5" t="s">
        <v>45</v>
      </c>
      <c r="G83" s="5" t="n">
        <v>10011</v>
      </c>
      <c r="H83" s="5" t="s">
        <v>46</v>
      </c>
      <c r="I83" s="5" t="s">
        <v>47</v>
      </c>
      <c r="J83" s="5" t="s">
        <v>48</v>
      </c>
      <c r="K83" s="6" t="n">
        <v>121.65</v>
      </c>
      <c r="L83" s="5" t="n">
        <v>7</v>
      </c>
      <c r="M83" s="7" t="n">
        <v>0</v>
      </c>
      <c r="N83" s="6" t="n">
        <v>11.71</v>
      </c>
    </row>
    <row r="84" customFormat="false" ht="15" hidden="false" customHeight="false" outlineLevel="0" collapsed="false">
      <c r="A84" s="5" t="s">
        <v>293</v>
      </c>
      <c r="B84" s="5" t="s">
        <v>68</v>
      </c>
      <c r="C84" s="5" t="s">
        <v>69</v>
      </c>
      <c r="D84" s="5" t="s">
        <v>43</v>
      </c>
      <c r="E84" s="5" t="s">
        <v>104</v>
      </c>
      <c r="F84" s="5" t="s">
        <v>105</v>
      </c>
      <c r="G84" s="5" t="n">
        <v>28205</v>
      </c>
      <c r="H84" s="5" t="s">
        <v>53</v>
      </c>
      <c r="I84" s="5" t="s">
        <v>54</v>
      </c>
      <c r="J84" s="5" t="s">
        <v>93</v>
      </c>
      <c r="K84" s="6" t="n">
        <v>13.45</v>
      </c>
      <c r="L84" s="5" t="n">
        <v>5</v>
      </c>
      <c r="M84" s="7" t="n">
        <v>0</v>
      </c>
      <c r="N84" s="6" t="n">
        <v>6.92</v>
      </c>
    </row>
    <row r="85" customFormat="false" ht="15" hidden="false" customHeight="false" outlineLevel="0" collapsed="false">
      <c r="A85" s="5" t="s">
        <v>378</v>
      </c>
      <c r="B85" s="5" t="s">
        <v>68</v>
      </c>
      <c r="C85" s="5" t="s">
        <v>50</v>
      </c>
      <c r="D85" s="5" t="s">
        <v>43</v>
      </c>
      <c r="E85" s="5" t="s">
        <v>70</v>
      </c>
      <c r="F85" s="5" t="s">
        <v>71</v>
      </c>
      <c r="G85" s="5" t="n">
        <v>80219</v>
      </c>
      <c r="H85" s="5" t="s">
        <v>72</v>
      </c>
      <c r="I85" s="5" t="s">
        <v>65</v>
      </c>
      <c r="J85" s="5" t="s">
        <v>120</v>
      </c>
      <c r="K85" s="6" t="n">
        <v>36.94</v>
      </c>
      <c r="L85" s="5" t="n">
        <v>6</v>
      </c>
      <c r="M85" s="7" t="n">
        <v>0.2</v>
      </c>
      <c r="N85" s="6" t="n">
        <v>5.44</v>
      </c>
    </row>
    <row r="86" customFormat="false" ht="15" hidden="false" customHeight="false" outlineLevel="0" collapsed="false">
      <c r="A86" s="5" t="s">
        <v>241</v>
      </c>
      <c r="B86" s="5" t="s">
        <v>68</v>
      </c>
      <c r="C86" s="5" t="s">
        <v>50</v>
      </c>
      <c r="D86" s="5" t="s">
        <v>43</v>
      </c>
      <c r="E86" s="5" t="s">
        <v>107</v>
      </c>
      <c r="F86" s="5" t="s">
        <v>108</v>
      </c>
      <c r="G86" s="5" t="n">
        <v>7102</v>
      </c>
      <c r="H86" s="5" t="s">
        <v>46</v>
      </c>
      <c r="I86" s="5" t="s">
        <v>47</v>
      </c>
      <c r="J86" s="5" t="s">
        <v>86</v>
      </c>
      <c r="K86" s="6" t="n">
        <v>37.12</v>
      </c>
      <c r="L86" s="5" t="n">
        <v>1</v>
      </c>
      <c r="M86" s="7" t="n">
        <v>0.2</v>
      </c>
      <c r="N86" s="6" t="n">
        <v>-4.51</v>
      </c>
    </row>
    <row r="87" customFormat="false" ht="15" hidden="false" customHeight="false" outlineLevel="0" collapsed="false">
      <c r="A87" s="5" t="s">
        <v>385</v>
      </c>
      <c r="B87" s="5" t="s">
        <v>68</v>
      </c>
      <c r="C87" s="5" t="s">
        <v>42</v>
      </c>
      <c r="D87" s="5" t="s">
        <v>43</v>
      </c>
      <c r="E87" s="5" t="s">
        <v>114</v>
      </c>
      <c r="F87" s="5" t="s">
        <v>115</v>
      </c>
      <c r="G87" s="5" t="n">
        <v>90036</v>
      </c>
      <c r="H87" s="5" t="s">
        <v>72</v>
      </c>
      <c r="I87" s="5" t="s">
        <v>47</v>
      </c>
      <c r="J87" s="5" t="s">
        <v>48</v>
      </c>
      <c r="K87" s="6" t="n">
        <v>86.45</v>
      </c>
      <c r="L87" s="5" t="n">
        <v>5</v>
      </c>
      <c r="M87" s="7" t="n">
        <v>0.1</v>
      </c>
      <c r="N87" s="6" t="n">
        <v>11.62</v>
      </c>
    </row>
    <row r="88" customFormat="false" ht="15" hidden="false" customHeight="false" outlineLevel="0" collapsed="false">
      <c r="A88" s="5" t="s">
        <v>321</v>
      </c>
      <c r="B88" s="5" t="s">
        <v>41</v>
      </c>
      <c r="C88" s="5" t="s">
        <v>50</v>
      </c>
      <c r="D88" s="5" t="s">
        <v>43</v>
      </c>
      <c r="E88" s="5" t="s">
        <v>91</v>
      </c>
      <c r="F88" s="5" t="s">
        <v>92</v>
      </c>
      <c r="G88" s="5" t="n">
        <v>33311</v>
      </c>
      <c r="H88" s="5" t="s">
        <v>53</v>
      </c>
      <c r="I88" s="5" t="s">
        <v>65</v>
      </c>
      <c r="J88" s="5" t="s">
        <v>109</v>
      </c>
      <c r="K88" s="6" t="n">
        <v>85.42</v>
      </c>
      <c r="L88" s="5" t="n">
        <v>4</v>
      </c>
      <c r="M88" s="7" t="n">
        <v>0</v>
      </c>
      <c r="N88" s="6" t="n">
        <v>26.34</v>
      </c>
    </row>
    <row r="89" customFormat="false" ht="15" hidden="false" customHeight="false" outlineLevel="0" collapsed="false">
      <c r="A89" s="5" t="s">
        <v>236</v>
      </c>
      <c r="B89" s="5" t="s">
        <v>68</v>
      </c>
      <c r="C89" s="5" t="s">
        <v>50</v>
      </c>
      <c r="D89" s="5" t="s">
        <v>43</v>
      </c>
      <c r="E89" s="5" t="s">
        <v>104</v>
      </c>
      <c r="F89" s="5" t="s">
        <v>105</v>
      </c>
      <c r="G89" s="5" t="n">
        <v>28205</v>
      </c>
      <c r="H89" s="5" t="s">
        <v>53</v>
      </c>
      <c r="I89" s="5" t="s">
        <v>65</v>
      </c>
      <c r="J89" s="5" t="s">
        <v>88</v>
      </c>
      <c r="K89" s="6" t="n">
        <v>20.45</v>
      </c>
      <c r="L89" s="5" t="n">
        <v>6</v>
      </c>
      <c r="M89" s="7" t="n">
        <v>0.2</v>
      </c>
      <c r="N89" s="6" t="n">
        <v>2.51</v>
      </c>
    </row>
    <row r="90" customFormat="false" ht="15" hidden="false" customHeight="false" outlineLevel="0" collapsed="false">
      <c r="A90" s="5" t="s">
        <v>356</v>
      </c>
      <c r="B90" s="5" t="s">
        <v>83</v>
      </c>
      <c r="C90" s="5" t="s">
        <v>50</v>
      </c>
      <c r="D90" s="5" t="s">
        <v>43</v>
      </c>
      <c r="E90" s="5" t="s">
        <v>176</v>
      </c>
      <c r="F90" s="5" t="s">
        <v>177</v>
      </c>
      <c r="G90" s="5" t="n">
        <v>55407</v>
      </c>
      <c r="H90" s="5" t="s">
        <v>64</v>
      </c>
      <c r="I90" s="5" t="s">
        <v>54</v>
      </c>
      <c r="J90" s="5" t="s">
        <v>77</v>
      </c>
      <c r="K90" s="6" t="n">
        <v>111.82</v>
      </c>
      <c r="L90" s="5" t="n">
        <v>9</v>
      </c>
      <c r="M90" s="7" t="n">
        <v>0.3</v>
      </c>
      <c r="N90" s="6" t="n">
        <v>38.71</v>
      </c>
    </row>
    <row r="91" customFormat="false" ht="15" hidden="false" customHeight="false" outlineLevel="0" collapsed="false">
      <c r="A91" s="5" t="s">
        <v>316</v>
      </c>
      <c r="B91" s="5" t="s">
        <v>83</v>
      </c>
      <c r="C91" s="5" t="s">
        <v>50</v>
      </c>
      <c r="D91" s="5" t="s">
        <v>43</v>
      </c>
      <c r="E91" s="5" t="s">
        <v>95</v>
      </c>
      <c r="F91" s="5" t="s">
        <v>96</v>
      </c>
      <c r="G91" s="5" t="n">
        <v>97206</v>
      </c>
      <c r="H91" s="5" t="s">
        <v>72</v>
      </c>
      <c r="I91" s="5" t="s">
        <v>47</v>
      </c>
      <c r="J91" s="5" t="s">
        <v>60</v>
      </c>
      <c r="K91" s="6" t="n">
        <v>2261.16</v>
      </c>
      <c r="L91" s="5" t="n">
        <v>1</v>
      </c>
      <c r="M91" s="7" t="n">
        <v>0.5</v>
      </c>
      <c r="N91" s="6" t="n">
        <v>-236.18</v>
      </c>
    </row>
    <row r="92" customFormat="false" ht="15" hidden="false" customHeight="false" outlineLevel="0" collapsed="false">
      <c r="A92" s="5" t="s">
        <v>334</v>
      </c>
      <c r="B92" s="5" t="s">
        <v>83</v>
      </c>
      <c r="C92" s="5" t="s">
        <v>42</v>
      </c>
      <c r="D92" s="5" t="s">
        <v>43</v>
      </c>
      <c r="E92" s="5" t="s">
        <v>107</v>
      </c>
      <c r="F92" s="5" t="s">
        <v>108</v>
      </c>
      <c r="G92" s="5" t="n">
        <v>7102</v>
      </c>
      <c r="H92" s="5" t="s">
        <v>46</v>
      </c>
      <c r="I92" s="5" t="s">
        <v>65</v>
      </c>
      <c r="J92" s="5" t="s">
        <v>133</v>
      </c>
      <c r="K92" s="6" t="n">
        <v>30.51</v>
      </c>
      <c r="L92" s="5" t="n">
        <v>7</v>
      </c>
      <c r="M92" s="7" t="n">
        <v>0.15</v>
      </c>
      <c r="N92" s="6" t="n">
        <v>7.91</v>
      </c>
    </row>
    <row r="93" customFormat="false" ht="15" hidden="false" customHeight="false" outlineLevel="0" collapsed="false">
      <c r="A93" s="5" t="s">
        <v>174</v>
      </c>
      <c r="B93" s="5" t="s">
        <v>41</v>
      </c>
      <c r="C93" s="5" t="s">
        <v>50</v>
      </c>
      <c r="D93" s="5" t="s">
        <v>43</v>
      </c>
      <c r="E93" s="5" t="s">
        <v>104</v>
      </c>
      <c r="F93" s="5" t="s">
        <v>105</v>
      </c>
      <c r="G93" s="5" t="n">
        <v>28205</v>
      </c>
      <c r="H93" s="5" t="s">
        <v>53</v>
      </c>
      <c r="I93" s="5" t="s">
        <v>65</v>
      </c>
      <c r="J93" s="5" t="s">
        <v>88</v>
      </c>
      <c r="K93" s="6" t="n">
        <v>14.11</v>
      </c>
      <c r="L93" s="5" t="n">
        <v>4</v>
      </c>
      <c r="M93" s="7" t="n">
        <v>0</v>
      </c>
      <c r="N93" s="6" t="n">
        <v>1.15</v>
      </c>
    </row>
    <row r="94" customFormat="false" ht="15" hidden="false" customHeight="false" outlineLevel="0" collapsed="false">
      <c r="A94" s="5" t="s">
        <v>131</v>
      </c>
      <c r="B94" s="5" t="s">
        <v>68</v>
      </c>
      <c r="C94" s="5" t="s">
        <v>50</v>
      </c>
      <c r="D94" s="5" t="s">
        <v>43</v>
      </c>
      <c r="E94" s="5" t="s">
        <v>95</v>
      </c>
      <c r="F94" s="5" t="s">
        <v>96</v>
      </c>
      <c r="G94" s="5" t="n">
        <v>97206</v>
      </c>
      <c r="H94" s="5" t="s">
        <v>72</v>
      </c>
      <c r="I94" s="5" t="s">
        <v>47</v>
      </c>
      <c r="J94" s="5" t="s">
        <v>48</v>
      </c>
      <c r="K94" s="6" t="n">
        <v>23.49</v>
      </c>
      <c r="L94" s="5" t="n">
        <v>5</v>
      </c>
      <c r="M94" s="7" t="n">
        <v>0.15</v>
      </c>
      <c r="N94" s="6" t="n">
        <v>0.74</v>
      </c>
    </row>
    <row r="95" customFormat="false" ht="15" hidden="false" customHeight="false" outlineLevel="0" collapsed="false">
      <c r="A95" s="5" t="s">
        <v>376</v>
      </c>
      <c r="B95" s="5" t="s">
        <v>68</v>
      </c>
      <c r="C95" s="5" t="s">
        <v>69</v>
      </c>
      <c r="D95" s="5" t="s">
        <v>43</v>
      </c>
      <c r="E95" s="5" t="s">
        <v>112</v>
      </c>
      <c r="F95" s="5" t="s">
        <v>63</v>
      </c>
      <c r="G95" s="5" t="n">
        <v>75217</v>
      </c>
      <c r="H95" s="5" t="s">
        <v>64</v>
      </c>
      <c r="I95" s="5" t="s">
        <v>65</v>
      </c>
      <c r="J95" s="5" t="s">
        <v>120</v>
      </c>
      <c r="K95" s="6" t="n">
        <v>15.89</v>
      </c>
      <c r="L95" s="5" t="n">
        <v>4</v>
      </c>
      <c r="M95" s="7" t="n">
        <v>0.7</v>
      </c>
      <c r="N95" s="6" t="n">
        <v>-1.1</v>
      </c>
    </row>
    <row r="96" customFormat="false" ht="15" hidden="false" customHeight="false" outlineLevel="0" collapsed="false">
      <c r="A96" s="5" t="s">
        <v>207</v>
      </c>
      <c r="B96" s="5" t="s">
        <v>41</v>
      </c>
      <c r="C96" s="5" t="s">
        <v>69</v>
      </c>
      <c r="D96" s="5" t="s">
        <v>43</v>
      </c>
      <c r="E96" s="5" t="s">
        <v>79</v>
      </c>
      <c r="F96" s="5" t="s">
        <v>80</v>
      </c>
      <c r="G96" s="5" t="n">
        <v>2127</v>
      </c>
      <c r="H96" s="5" t="s">
        <v>46</v>
      </c>
      <c r="I96" s="5" t="s">
        <v>47</v>
      </c>
      <c r="J96" s="5" t="s">
        <v>48</v>
      </c>
      <c r="K96" s="6" t="n">
        <v>152.45</v>
      </c>
      <c r="L96" s="5" t="n">
        <v>2</v>
      </c>
      <c r="M96" s="7" t="n">
        <v>0.2</v>
      </c>
      <c r="N96" s="6" t="n">
        <v>7.25</v>
      </c>
    </row>
    <row r="97" customFormat="false" ht="15" hidden="false" customHeight="false" outlineLevel="0" collapsed="false">
      <c r="A97" s="5" t="s">
        <v>380</v>
      </c>
      <c r="B97" s="5" t="s">
        <v>41</v>
      </c>
      <c r="C97" s="5" t="s">
        <v>50</v>
      </c>
      <c r="D97" s="5" t="s">
        <v>43</v>
      </c>
      <c r="E97" s="5" t="s">
        <v>112</v>
      </c>
      <c r="F97" s="5" t="s">
        <v>63</v>
      </c>
      <c r="G97" s="5" t="n">
        <v>75217</v>
      </c>
      <c r="H97" s="5" t="s">
        <v>64</v>
      </c>
      <c r="I97" s="5" t="s">
        <v>65</v>
      </c>
      <c r="J97" s="5" t="s">
        <v>66</v>
      </c>
      <c r="K97" s="6" t="n">
        <v>50.22</v>
      </c>
      <c r="L97" s="5" t="n">
        <v>8</v>
      </c>
      <c r="M97" s="7" t="n">
        <v>0.7</v>
      </c>
      <c r="N97" s="6" t="n">
        <v>-6.57</v>
      </c>
    </row>
    <row r="98" customFormat="false" ht="15" hidden="false" customHeight="false" outlineLevel="0" collapsed="false">
      <c r="A98" s="5" t="s">
        <v>281</v>
      </c>
      <c r="B98" s="5" t="s">
        <v>57</v>
      </c>
      <c r="C98" s="5" t="s">
        <v>42</v>
      </c>
      <c r="D98" s="5" t="s">
        <v>43</v>
      </c>
      <c r="E98" s="5" t="s">
        <v>75</v>
      </c>
      <c r="F98" s="5" t="s">
        <v>76</v>
      </c>
      <c r="G98" s="5" t="n">
        <v>60610</v>
      </c>
      <c r="H98" s="5" t="s">
        <v>64</v>
      </c>
      <c r="I98" s="5" t="s">
        <v>47</v>
      </c>
      <c r="J98" s="5" t="s">
        <v>48</v>
      </c>
      <c r="K98" s="6" t="n">
        <v>19.63</v>
      </c>
      <c r="L98" s="5" t="n">
        <v>6</v>
      </c>
      <c r="M98" s="7" t="n">
        <v>0</v>
      </c>
      <c r="N98" s="6" t="n">
        <v>1.87</v>
      </c>
    </row>
    <row r="99" customFormat="false" ht="15" hidden="false" customHeight="false" outlineLevel="0" collapsed="false">
      <c r="A99" s="5" t="s">
        <v>326</v>
      </c>
      <c r="B99" s="5" t="s">
        <v>68</v>
      </c>
      <c r="C99" s="5" t="s">
        <v>69</v>
      </c>
      <c r="D99" s="5" t="s">
        <v>43</v>
      </c>
      <c r="E99" s="5" t="s">
        <v>91</v>
      </c>
      <c r="F99" s="5" t="s">
        <v>92</v>
      </c>
      <c r="G99" s="5" t="n">
        <v>33311</v>
      </c>
      <c r="H99" s="5" t="s">
        <v>53</v>
      </c>
      <c r="I99" s="5" t="s">
        <v>47</v>
      </c>
      <c r="J99" s="5" t="s">
        <v>84</v>
      </c>
      <c r="K99" s="6" t="n">
        <v>63.82</v>
      </c>
      <c r="L99" s="5" t="n">
        <v>9</v>
      </c>
      <c r="M99" s="7" t="n">
        <v>0.7</v>
      </c>
      <c r="N99" s="6" t="n">
        <v>-25.67</v>
      </c>
    </row>
    <row r="100" customFormat="false" ht="15" hidden="false" customHeight="false" outlineLevel="0" collapsed="false">
      <c r="A100" s="5" t="s">
        <v>312</v>
      </c>
      <c r="B100" s="5" t="s">
        <v>83</v>
      </c>
      <c r="C100" s="5" t="s">
        <v>69</v>
      </c>
      <c r="D100" s="5" t="s">
        <v>43</v>
      </c>
      <c r="E100" s="5" t="s">
        <v>51</v>
      </c>
      <c r="F100" s="5" t="s">
        <v>52</v>
      </c>
      <c r="G100" s="5" t="n">
        <v>37211</v>
      </c>
      <c r="H100" s="5" t="s">
        <v>53</v>
      </c>
      <c r="I100" s="5" t="s">
        <v>54</v>
      </c>
      <c r="J100" s="5" t="s">
        <v>77</v>
      </c>
      <c r="K100" s="6" t="n">
        <v>140.56</v>
      </c>
      <c r="L100" s="5" t="n">
        <v>8</v>
      </c>
      <c r="M100" s="7" t="n">
        <v>0</v>
      </c>
      <c r="N100" s="6" t="n">
        <v>72.64</v>
      </c>
    </row>
    <row r="101" customFormat="false" ht="15" hidden="false" customHeight="false" outlineLevel="0" collapsed="false">
      <c r="A101" s="5" t="s">
        <v>291</v>
      </c>
      <c r="B101" s="5" t="s">
        <v>83</v>
      </c>
      <c r="C101" s="5" t="s">
        <v>69</v>
      </c>
      <c r="D101" s="5" t="s">
        <v>43</v>
      </c>
      <c r="E101" s="5" t="s">
        <v>100</v>
      </c>
      <c r="F101" s="5" t="s">
        <v>101</v>
      </c>
      <c r="G101" s="5" t="n">
        <v>19140</v>
      </c>
      <c r="H101" s="5" t="s">
        <v>46</v>
      </c>
      <c r="I101" s="5" t="s">
        <v>65</v>
      </c>
      <c r="J101" s="5" t="s">
        <v>138</v>
      </c>
      <c r="K101" s="6" t="n">
        <v>68.6</v>
      </c>
      <c r="L101" s="5" t="n">
        <v>9</v>
      </c>
      <c r="M101" s="7" t="n">
        <v>0.2</v>
      </c>
      <c r="N101" s="6" t="n">
        <v>11.91</v>
      </c>
    </row>
    <row r="102" customFormat="false" ht="15" hidden="false" customHeight="false" outlineLevel="0" collapsed="false">
      <c r="A102" s="5" t="s">
        <v>160</v>
      </c>
      <c r="B102" s="5" t="s">
        <v>83</v>
      </c>
      <c r="C102" s="5" t="s">
        <v>42</v>
      </c>
      <c r="D102" s="5" t="s">
        <v>43</v>
      </c>
      <c r="E102" s="5" t="s">
        <v>75</v>
      </c>
      <c r="F102" s="5" t="s">
        <v>76</v>
      </c>
      <c r="G102" s="5" t="n">
        <v>60610</v>
      </c>
      <c r="H102" s="5" t="s">
        <v>64</v>
      </c>
      <c r="I102" s="5" t="s">
        <v>65</v>
      </c>
      <c r="J102" s="5" t="s">
        <v>138</v>
      </c>
      <c r="K102" s="6" t="n">
        <v>166.38</v>
      </c>
      <c r="L102" s="5" t="n">
        <v>2</v>
      </c>
      <c r="M102" s="7" t="n">
        <v>0.3</v>
      </c>
      <c r="N102" s="6" t="n">
        <v>5.95</v>
      </c>
    </row>
    <row r="103" customFormat="false" ht="15" hidden="false" customHeight="false" outlineLevel="0" collapsed="false">
      <c r="A103" s="5" t="s">
        <v>331</v>
      </c>
      <c r="B103" s="5" t="s">
        <v>83</v>
      </c>
      <c r="C103" s="5" t="s">
        <v>42</v>
      </c>
      <c r="D103" s="5" t="s">
        <v>43</v>
      </c>
      <c r="E103" s="5" t="s">
        <v>58</v>
      </c>
      <c r="F103" s="5" t="s">
        <v>59</v>
      </c>
      <c r="G103" s="5" t="n">
        <v>30318</v>
      </c>
      <c r="H103" s="5" t="s">
        <v>53</v>
      </c>
      <c r="I103" s="5" t="s">
        <v>65</v>
      </c>
      <c r="J103" s="5" t="s">
        <v>124</v>
      </c>
      <c r="K103" s="6" t="n">
        <v>68.39</v>
      </c>
      <c r="L103" s="5" t="n">
        <v>7</v>
      </c>
      <c r="M103" s="7" t="n">
        <v>0</v>
      </c>
      <c r="N103" s="6" t="n">
        <v>22.99</v>
      </c>
    </row>
    <row r="104" customFormat="false" ht="15" hidden="false" customHeight="false" outlineLevel="0" collapsed="false">
      <c r="A104" s="5" t="s">
        <v>221</v>
      </c>
      <c r="B104" s="5" t="s">
        <v>83</v>
      </c>
      <c r="C104" s="5" t="s">
        <v>42</v>
      </c>
      <c r="D104" s="5" t="s">
        <v>43</v>
      </c>
      <c r="E104" s="5" t="s">
        <v>44</v>
      </c>
      <c r="F104" s="5" t="s">
        <v>45</v>
      </c>
      <c r="G104" s="5" t="n">
        <v>10011</v>
      </c>
      <c r="H104" s="5" t="s">
        <v>46</v>
      </c>
      <c r="I104" s="5" t="s">
        <v>65</v>
      </c>
      <c r="J104" s="5" t="s">
        <v>81</v>
      </c>
      <c r="K104" s="6" t="n">
        <v>113.83</v>
      </c>
      <c r="L104" s="5" t="n">
        <v>1</v>
      </c>
      <c r="M104" s="7" t="n">
        <v>0.1</v>
      </c>
      <c r="N104" s="6" t="n">
        <v>32.6</v>
      </c>
    </row>
    <row r="105" customFormat="false" ht="15" hidden="false" customHeight="false" outlineLevel="0" collapsed="false">
      <c r="A105" s="5" t="s">
        <v>117</v>
      </c>
      <c r="B105" s="5" t="s">
        <v>41</v>
      </c>
      <c r="C105" s="5" t="s">
        <v>42</v>
      </c>
      <c r="D105" s="5" t="s">
        <v>43</v>
      </c>
      <c r="E105" s="5" t="s">
        <v>118</v>
      </c>
      <c r="F105" s="5" t="s">
        <v>119</v>
      </c>
      <c r="G105" s="5" t="n">
        <v>98103</v>
      </c>
      <c r="H105" s="5" t="s">
        <v>72</v>
      </c>
      <c r="I105" s="5" t="s">
        <v>65</v>
      </c>
      <c r="J105" s="5" t="s">
        <v>120</v>
      </c>
      <c r="K105" s="6" t="n">
        <v>74.16</v>
      </c>
      <c r="L105" s="5" t="n">
        <v>5</v>
      </c>
      <c r="M105" s="7" t="n">
        <v>0.4</v>
      </c>
      <c r="N105" s="6" t="n">
        <v>2.67</v>
      </c>
    </row>
    <row r="106" customFormat="false" ht="15" hidden="false" customHeight="false" outlineLevel="0" collapsed="false">
      <c r="A106" s="5" t="s">
        <v>237</v>
      </c>
      <c r="B106" s="5" t="s">
        <v>41</v>
      </c>
      <c r="C106" s="5" t="s">
        <v>42</v>
      </c>
      <c r="D106" s="5" t="s">
        <v>43</v>
      </c>
      <c r="E106" s="5" t="s">
        <v>91</v>
      </c>
      <c r="F106" s="5" t="s">
        <v>92</v>
      </c>
      <c r="G106" s="5" t="n">
        <v>33311</v>
      </c>
      <c r="H106" s="5" t="s">
        <v>53</v>
      </c>
      <c r="I106" s="5" t="s">
        <v>65</v>
      </c>
      <c r="J106" s="5" t="s">
        <v>88</v>
      </c>
      <c r="K106" s="6" t="n">
        <v>20.49</v>
      </c>
      <c r="L106" s="5" t="n">
        <v>9</v>
      </c>
      <c r="M106" s="7" t="n">
        <v>0.7</v>
      </c>
      <c r="N106" s="6" t="n">
        <v>-3</v>
      </c>
    </row>
    <row r="107" customFormat="false" ht="15" hidden="false" customHeight="false" outlineLevel="0" collapsed="false">
      <c r="A107" s="5" t="s">
        <v>153</v>
      </c>
      <c r="B107" s="5" t="s">
        <v>83</v>
      </c>
      <c r="C107" s="5" t="s">
        <v>50</v>
      </c>
      <c r="D107" s="5" t="s">
        <v>43</v>
      </c>
      <c r="E107" s="5" t="s">
        <v>70</v>
      </c>
      <c r="F107" s="5" t="s">
        <v>71</v>
      </c>
      <c r="G107" s="5" t="n">
        <v>80219</v>
      </c>
      <c r="H107" s="5" t="s">
        <v>72</v>
      </c>
      <c r="I107" s="5" t="s">
        <v>65</v>
      </c>
      <c r="J107" s="5" t="s">
        <v>66</v>
      </c>
      <c r="K107" s="6" t="n">
        <v>87.3</v>
      </c>
      <c r="L107" s="5" t="n">
        <v>3</v>
      </c>
      <c r="M107" s="7" t="n">
        <v>0.5</v>
      </c>
      <c r="N107" s="6" t="n">
        <v>-6.59</v>
      </c>
    </row>
    <row r="108" customFormat="false" ht="15" hidden="false" customHeight="false" outlineLevel="0" collapsed="false">
      <c r="A108" s="5" t="s">
        <v>383</v>
      </c>
      <c r="B108" s="5" t="s">
        <v>41</v>
      </c>
      <c r="C108" s="5" t="s">
        <v>69</v>
      </c>
      <c r="D108" s="5" t="s">
        <v>43</v>
      </c>
      <c r="E108" s="5" t="s">
        <v>100</v>
      </c>
      <c r="F108" s="5" t="s">
        <v>101</v>
      </c>
      <c r="G108" s="5" t="n">
        <v>19140</v>
      </c>
      <c r="H108" s="5" t="s">
        <v>46</v>
      </c>
      <c r="I108" s="5" t="s">
        <v>65</v>
      </c>
      <c r="J108" s="5" t="s">
        <v>124</v>
      </c>
      <c r="K108" s="6" t="n">
        <v>133.14</v>
      </c>
      <c r="L108" s="5" t="n">
        <v>9</v>
      </c>
      <c r="M108" s="7" t="n">
        <v>0.3</v>
      </c>
      <c r="N108" s="6" t="n">
        <v>6.13</v>
      </c>
    </row>
    <row r="109" customFormat="false" ht="15" hidden="false" customHeight="false" outlineLevel="0" collapsed="false">
      <c r="A109" s="5" t="s">
        <v>267</v>
      </c>
      <c r="B109" s="5" t="s">
        <v>41</v>
      </c>
      <c r="C109" s="5" t="s">
        <v>50</v>
      </c>
      <c r="D109" s="5" t="s">
        <v>43</v>
      </c>
      <c r="E109" s="5" t="s">
        <v>62</v>
      </c>
      <c r="F109" s="5" t="s">
        <v>63</v>
      </c>
      <c r="G109" s="5" t="n">
        <v>77095</v>
      </c>
      <c r="H109" s="5" t="s">
        <v>64</v>
      </c>
      <c r="I109" s="5" t="s">
        <v>54</v>
      </c>
      <c r="J109" s="5" t="s">
        <v>77</v>
      </c>
      <c r="K109" s="6" t="n">
        <v>158.69</v>
      </c>
      <c r="L109" s="5" t="n">
        <v>3</v>
      </c>
      <c r="M109" s="7" t="n">
        <v>0.2</v>
      </c>
      <c r="N109" s="6" t="n">
        <v>55.64</v>
      </c>
    </row>
    <row r="110" customFormat="false" ht="15" hidden="false" customHeight="false" outlineLevel="0" collapsed="false">
      <c r="A110" s="5" t="s">
        <v>218</v>
      </c>
      <c r="B110" s="5" t="s">
        <v>68</v>
      </c>
      <c r="C110" s="5" t="s">
        <v>50</v>
      </c>
      <c r="D110" s="5" t="s">
        <v>43</v>
      </c>
      <c r="E110" s="5" t="s">
        <v>70</v>
      </c>
      <c r="F110" s="5" t="s">
        <v>71</v>
      </c>
      <c r="G110" s="5" t="n">
        <v>80219</v>
      </c>
      <c r="H110" s="5" t="s">
        <v>72</v>
      </c>
      <c r="I110" s="5" t="s">
        <v>65</v>
      </c>
      <c r="J110" s="5" t="s">
        <v>109</v>
      </c>
      <c r="K110" s="6" t="n">
        <v>173.48</v>
      </c>
      <c r="L110" s="5" t="n">
        <v>6</v>
      </c>
      <c r="M110" s="7" t="n">
        <v>0.2</v>
      </c>
      <c r="N110" s="6" t="n">
        <v>25.6</v>
      </c>
    </row>
    <row r="111" customFormat="false" ht="15" hidden="false" customHeight="false" outlineLevel="0" collapsed="false">
      <c r="A111" s="5" t="s">
        <v>357</v>
      </c>
      <c r="B111" s="5" t="s">
        <v>68</v>
      </c>
      <c r="C111" s="5" t="s">
        <v>42</v>
      </c>
      <c r="D111" s="5" t="s">
        <v>43</v>
      </c>
      <c r="E111" s="5" t="s">
        <v>79</v>
      </c>
      <c r="F111" s="5" t="s">
        <v>80</v>
      </c>
      <c r="G111" s="5" t="n">
        <v>2127</v>
      </c>
      <c r="H111" s="5" t="s">
        <v>46</v>
      </c>
      <c r="I111" s="5" t="s">
        <v>54</v>
      </c>
      <c r="J111" s="5" t="s">
        <v>93</v>
      </c>
      <c r="K111" s="6" t="n">
        <v>107.8</v>
      </c>
      <c r="L111" s="5" t="n">
        <v>9</v>
      </c>
      <c r="M111" s="7" t="n">
        <v>0</v>
      </c>
      <c r="N111" s="6" t="n">
        <v>60.33</v>
      </c>
    </row>
    <row r="112" customFormat="false" ht="15" hidden="false" customHeight="false" outlineLevel="0" collapsed="false">
      <c r="A112" s="5" t="s">
        <v>200</v>
      </c>
      <c r="B112" s="5" t="s">
        <v>57</v>
      </c>
      <c r="C112" s="5" t="s">
        <v>69</v>
      </c>
      <c r="D112" s="5" t="s">
        <v>43</v>
      </c>
      <c r="E112" s="5" t="s">
        <v>104</v>
      </c>
      <c r="F112" s="5" t="s">
        <v>105</v>
      </c>
      <c r="G112" s="5" t="n">
        <v>28205</v>
      </c>
      <c r="H112" s="5" t="s">
        <v>53</v>
      </c>
      <c r="I112" s="5" t="s">
        <v>47</v>
      </c>
      <c r="J112" s="5" t="s">
        <v>48</v>
      </c>
      <c r="K112" s="6" t="n">
        <v>67.19</v>
      </c>
      <c r="L112" s="5" t="n">
        <v>2</v>
      </c>
      <c r="M112" s="7" t="n">
        <v>0.15</v>
      </c>
      <c r="N112" s="6" t="n">
        <v>6.7</v>
      </c>
    </row>
    <row r="113" customFormat="false" ht="15" hidden="false" customHeight="false" outlineLevel="0" collapsed="false">
      <c r="A113" s="5" t="s">
        <v>361</v>
      </c>
      <c r="B113" s="5" t="s">
        <v>41</v>
      </c>
      <c r="C113" s="5" t="s">
        <v>50</v>
      </c>
      <c r="D113" s="5" t="s">
        <v>43</v>
      </c>
      <c r="E113" s="5" t="s">
        <v>51</v>
      </c>
      <c r="F113" s="5" t="s">
        <v>52</v>
      </c>
      <c r="G113" s="5" t="n">
        <v>37211</v>
      </c>
      <c r="H113" s="5" t="s">
        <v>53</v>
      </c>
      <c r="I113" s="5" t="s">
        <v>65</v>
      </c>
      <c r="J113" s="5" t="s">
        <v>81</v>
      </c>
      <c r="K113" s="6" t="n">
        <v>46.3</v>
      </c>
      <c r="L113" s="5" t="n">
        <v>5</v>
      </c>
      <c r="M113" s="7" t="n">
        <v>0</v>
      </c>
      <c r="N113" s="6" t="n">
        <v>15.16</v>
      </c>
    </row>
    <row r="114" customFormat="false" ht="15" hidden="false" customHeight="false" outlineLevel="0" collapsed="false">
      <c r="A114" s="5" t="s">
        <v>127</v>
      </c>
      <c r="B114" s="5" t="s">
        <v>57</v>
      </c>
      <c r="C114" s="5" t="s">
        <v>50</v>
      </c>
      <c r="D114" s="5" t="s">
        <v>43</v>
      </c>
      <c r="E114" s="5" t="s">
        <v>70</v>
      </c>
      <c r="F114" s="5" t="s">
        <v>71</v>
      </c>
      <c r="G114" s="5" t="n">
        <v>80219</v>
      </c>
      <c r="H114" s="5" t="s">
        <v>72</v>
      </c>
      <c r="I114" s="5" t="s">
        <v>47</v>
      </c>
      <c r="J114" s="5" t="s">
        <v>86</v>
      </c>
      <c r="K114" s="6" t="n">
        <v>21.27</v>
      </c>
      <c r="L114" s="5" t="n">
        <v>8</v>
      </c>
      <c r="M114" s="7" t="n">
        <v>0</v>
      </c>
      <c r="N114" s="6" t="n">
        <v>-0.52</v>
      </c>
    </row>
    <row r="115" customFormat="false" ht="15" hidden="false" customHeight="false" outlineLevel="0" collapsed="false">
      <c r="A115" s="5" t="s">
        <v>394</v>
      </c>
      <c r="B115" s="5" t="s">
        <v>57</v>
      </c>
      <c r="C115" s="5" t="s">
        <v>50</v>
      </c>
      <c r="D115" s="5" t="s">
        <v>43</v>
      </c>
      <c r="E115" s="5" t="s">
        <v>51</v>
      </c>
      <c r="F115" s="5" t="s">
        <v>52</v>
      </c>
      <c r="G115" s="5" t="n">
        <v>37211</v>
      </c>
      <c r="H115" s="5" t="s">
        <v>53</v>
      </c>
      <c r="I115" s="5" t="s">
        <v>65</v>
      </c>
      <c r="J115" s="5" t="s">
        <v>109</v>
      </c>
      <c r="K115" s="6" t="n">
        <v>38.07</v>
      </c>
      <c r="L115" s="5" t="n">
        <v>6</v>
      </c>
      <c r="M115" s="7" t="n">
        <v>0.2</v>
      </c>
      <c r="N115" s="6" t="n">
        <v>9.65</v>
      </c>
    </row>
    <row r="116" customFormat="false" ht="15" hidden="false" customHeight="false" outlineLevel="0" collapsed="false">
      <c r="A116" s="5" t="s">
        <v>184</v>
      </c>
      <c r="B116" s="5" t="s">
        <v>68</v>
      </c>
      <c r="C116" s="5" t="s">
        <v>50</v>
      </c>
      <c r="D116" s="5" t="s">
        <v>43</v>
      </c>
      <c r="E116" s="5" t="s">
        <v>79</v>
      </c>
      <c r="F116" s="5" t="s">
        <v>80</v>
      </c>
      <c r="G116" s="5" t="n">
        <v>2127</v>
      </c>
      <c r="H116" s="5" t="s">
        <v>46</v>
      </c>
      <c r="I116" s="5" t="s">
        <v>54</v>
      </c>
      <c r="J116" s="5" t="s">
        <v>55</v>
      </c>
      <c r="K116" s="6" t="n">
        <v>49.58</v>
      </c>
      <c r="L116" s="5" t="n">
        <v>3</v>
      </c>
      <c r="M116" s="7" t="n">
        <v>0</v>
      </c>
      <c r="N116" s="6" t="n">
        <v>-8.02</v>
      </c>
    </row>
    <row r="117" customFormat="false" ht="15" hidden="false" customHeight="false" outlineLevel="0" collapsed="false">
      <c r="A117" s="5" t="s">
        <v>214</v>
      </c>
      <c r="B117" s="5" t="s">
        <v>41</v>
      </c>
      <c r="C117" s="5" t="s">
        <v>69</v>
      </c>
      <c r="D117" s="5" t="s">
        <v>43</v>
      </c>
      <c r="E117" s="5" t="s">
        <v>95</v>
      </c>
      <c r="F117" s="5" t="s">
        <v>96</v>
      </c>
      <c r="G117" s="5" t="n">
        <v>97206</v>
      </c>
      <c r="H117" s="5" t="s">
        <v>72</v>
      </c>
      <c r="I117" s="5" t="s">
        <v>47</v>
      </c>
      <c r="J117" s="5" t="s">
        <v>84</v>
      </c>
      <c r="K117" s="6" t="n">
        <v>90.89</v>
      </c>
      <c r="L117" s="5" t="n">
        <v>5</v>
      </c>
      <c r="M117" s="7" t="n">
        <v>0</v>
      </c>
      <c r="N117" s="6" t="n">
        <v>4.34</v>
      </c>
    </row>
    <row r="118" customFormat="false" ht="15" hidden="false" customHeight="false" outlineLevel="0" collapsed="false">
      <c r="A118" s="5" t="s">
        <v>366</v>
      </c>
      <c r="B118" s="5" t="s">
        <v>68</v>
      </c>
      <c r="C118" s="5" t="s">
        <v>42</v>
      </c>
      <c r="D118" s="5" t="s">
        <v>43</v>
      </c>
      <c r="E118" s="5" t="s">
        <v>107</v>
      </c>
      <c r="F118" s="5" t="s">
        <v>108</v>
      </c>
      <c r="G118" s="5" t="n">
        <v>7102</v>
      </c>
      <c r="H118" s="5" t="s">
        <v>46</v>
      </c>
      <c r="I118" s="5" t="s">
        <v>65</v>
      </c>
      <c r="J118" s="5" t="s">
        <v>66</v>
      </c>
      <c r="K118" s="6" t="n">
        <v>34.93</v>
      </c>
      <c r="L118" s="5" t="n">
        <v>7</v>
      </c>
      <c r="M118" s="7" t="n">
        <v>0.7</v>
      </c>
      <c r="N118" s="6" t="n">
        <v>-5.35</v>
      </c>
    </row>
    <row r="119" customFormat="false" ht="15" hidden="false" customHeight="false" outlineLevel="0" collapsed="false">
      <c r="A119" s="5" t="s">
        <v>89</v>
      </c>
      <c r="B119" s="5" t="s">
        <v>83</v>
      </c>
      <c r="C119" s="5" t="s">
        <v>42</v>
      </c>
      <c r="D119" s="5" t="s">
        <v>43</v>
      </c>
      <c r="E119" s="5" t="s">
        <v>62</v>
      </c>
      <c r="F119" s="5" t="s">
        <v>63</v>
      </c>
      <c r="G119" s="5" t="n">
        <v>77095</v>
      </c>
      <c r="H119" s="5" t="s">
        <v>64</v>
      </c>
      <c r="I119" s="5" t="s">
        <v>47</v>
      </c>
      <c r="J119" s="5" t="s">
        <v>48</v>
      </c>
      <c r="K119" s="6" t="n">
        <v>182.97</v>
      </c>
      <c r="L119" s="5" t="n">
        <v>8</v>
      </c>
      <c r="M119" s="7" t="n">
        <v>0</v>
      </c>
      <c r="N119" s="6" t="n">
        <v>25.84</v>
      </c>
    </row>
    <row r="120" customFormat="false" ht="15" hidden="false" customHeight="false" outlineLevel="0" collapsed="false">
      <c r="A120" s="5" t="s">
        <v>225</v>
      </c>
      <c r="B120" s="5" t="s">
        <v>83</v>
      </c>
      <c r="C120" s="5" t="s">
        <v>42</v>
      </c>
      <c r="D120" s="5" t="s">
        <v>43</v>
      </c>
      <c r="E120" s="5" t="s">
        <v>100</v>
      </c>
      <c r="F120" s="5" t="s">
        <v>101</v>
      </c>
      <c r="G120" s="5" t="n">
        <v>19140</v>
      </c>
      <c r="H120" s="5" t="s">
        <v>46</v>
      </c>
      <c r="I120" s="5" t="s">
        <v>65</v>
      </c>
      <c r="J120" s="5" t="s">
        <v>81</v>
      </c>
      <c r="K120" s="6" t="n">
        <v>43.44</v>
      </c>
      <c r="L120" s="5" t="n">
        <v>6</v>
      </c>
      <c r="M120" s="7" t="n">
        <v>0.4</v>
      </c>
      <c r="N120" s="6" t="n">
        <v>4.51</v>
      </c>
    </row>
    <row r="121" customFormat="false" ht="15" hidden="false" customHeight="false" outlineLevel="0" collapsed="false">
      <c r="A121" s="5" t="s">
        <v>347</v>
      </c>
      <c r="B121" s="5" t="s">
        <v>57</v>
      </c>
      <c r="C121" s="5" t="s">
        <v>50</v>
      </c>
      <c r="D121" s="5" t="s">
        <v>43</v>
      </c>
      <c r="E121" s="5" t="s">
        <v>62</v>
      </c>
      <c r="F121" s="5" t="s">
        <v>63</v>
      </c>
      <c r="G121" s="5" t="n">
        <v>77095</v>
      </c>
      <c r="H121" s="5" t="s">
        <v>64</v>
      </c>
      <c r="I121" s="5" t="s">
        <v>47</v>
      </c>
      <c r="J121" s="5" t="s">
        <v>48</v>
      </c>
      <c r="K121" s="6" t="n">
        <v>491.45</v>
      </c>
      <c r="L121" s="5" t="n">
        <v>5</v>
      </c>
      <c r="M121" s="7" t="n">
        <v>0.1</v>
      </c>
      <c r="N121" s="6" t="n">
        <v>8.06</v>
      </c>
    </row>
    <row r="122" customFormat="false" ht="15" hidden="false" customHeight="false" outlineLevel="0" collapsed="false">
      <c r="A122" s="5" t="s">
        <v>295</v>
      </c>
      <c r="B122" s="5" t="s">
        <v>83</v>
      </c>
      <c r="C122" s="5" t="s">
        <v>42</v>
      </c>
      <c r="D122" s="5" t="s">
        <v>43</v>
      </c>
      <c r="E122" s="5" t="s">
        <v>112</v>
      </c>
      <c r="F122" s="5" t="s">
        <v>63</v>
      </c>
      <c r="G122" s="5" t="n">
        <v>75217</v>
      </c>
      <c r="H122" s="5" t="s">
        <v>64</v>
      </c>
      <c r="I122" s="5" t="s">
        <v>65</v>
      </c>
      <c r="J122" s="5" t="s">
        <v>81</v>
      </c>
      <c r="K122" s="6" t="n">
        <v>79.91</v>
      </c>
      <c r="L122" s="5" t="n">
        <v>9</v>
      </c>
      <c r="M122" s="7" t="n">
        <v>0.5</v>
      </c>
      <c r="N122" s="6" t="n">
        <v>-5.09</v>
      </c>
    </row>
    <row r="123" customFormat="false" ht="15" hidden="false" customHeight="false" outlineLevel="0" collapsed="false">
      <c r="A123" s="5" t="s">
        <v>391</v>
      </c>
      <c r="B123" s="5" t="s">
        <v>83</v>
      </c>
      <c r="C123" s="5" t="s">
        <v>69</v>
      </c>
      <c r="D123" s="5" t="s">
        <v>43</v>
      </c>
      <c r="E123" s="5" t="s">
        <v>51</v>
      </c>
      <c r="F123" s="5" t="s">
        <v>52</v>
      </c>
      <c r="G123" s="5" t="n">
        <v>37211</v>
      </c>
      <c r="H123" s="5" t="s">
        <v>53</v>
      </c>
      <c r="I123" s="5" t="s">
        <v>65</v>
      </c>
      <c r="J123" s="5" t="s">
        <v>88</v>
      </c>
      <c r="K123" s="6" t="n">
        <v>127.49</v>
      </c>
      <c r="L123" s="5" t="n">
        <v>5</v>
      </c>
      <c r="M123" s="7" t="n">
        <v>0</v>
      </c>
      <c r="N123" s="6" t="n">
        <v>40.06</v>
      </c>
    </row>
    <row r="124" customFormat="false" ht="15" hidden="false" customHeight="false" outlineLevel="0" collapsed="false">
      <c r="A124" s="5" t="s">
        <v>178</v>
      </c>
      <c r="B124" s="5" t="s">
        <v>41</v>
      </c>
      <c r="C124" s="5" t="s">
        <v>50</v>
      </c>
      <c r="D124" s="5" t="s">
        <v>43</v>
      </c>
      <c r="E124" s="5" t="s">
        <v>107</v>
      </c>
      <c r="F124" s="5" t="s">
        <v>108</v>
      </c>
      <c r="G124" s="5" t="n">
        <v>7102</v>
      </c>
      <c r="H124" s="5" t="s">
        <v>46</v>
      </c>
      <c r="I124" s="5" t="s">
        <v>65</v>
      </c>
      <c r="J124" s="5" t="s">
        <v>81</v>
      </c>
      <c r="K124" s="6" t="n">
        <v>15.51</v>
      </c>
      <c r="L124" s="5" t="n">
        <v>1</v>
      </c>
      <c r="M124" s="7" t="n">
        <v>0</v>
      </c>
      <c r="N124" s="6" t="n">
        <v>3.87</v>
      </c>
    </row>
    <row r="125" customFormat="false" ht="15" hidden="false" customHeight="false" outlineLevel="0" collapsed="false">
      <c r="A125" s="5" t="s">
        <v>286</v>
      </c>
      <c r="B125" s="5" t="s">
        <v>57</v>
      </c>
      <c r="C125" s="5" t="s">
        <v>50</v>
      </c>
      <c r="D125" s="5" t="s">
        <v>43</v>
      </c>
      <c r="E125" s="5" t="s">
        <v>100</v>
      </c>
      <c r="F125" s="5" t="s">
        <v>101</v>
      </c>
      <c r="G125" s="5" t="n">
        <v>19140</v>
      </c>
      <c r="H125" s="5" t="s">
        <v>46</v>
      </c>
      <c r="I125" s="5" t="s">
        <v>54</v>
      </c>
      <c r="J125" s="5" t="s">
        <v>93</v>
      </c>
      <c r="K125" s="6" t="n">
        <v>501.16</v>
      </c>
      <c r="L125" s="5" t="n">
        <v>2</v>
      </c>
      <c r="M125" s="7" t="n">
        <v>0.7</v>
      </c>
      <c r="N125" s="6" t="n">
        <v>21.03</v>
      </c>
    </row>
    <row r="126" customFormat="false" ht="15" hidden="false" customHeight="false" outlineLevel="0" collapsed="false">
      <c r="A126" s="5" t="s">
        <v>294</v>
      </c>
      <c r="B126" s="5" t="s">
        <v>41</v>
      </c>
      <c r="C126" s="5" t="s">
        <v>50</v>
      </c>
      <c r="D126" s="5" t="s">
        <v>43</v>
      </c>
      <c r="E126" s="5" t="s">
        <v>62</v>
      </c>
      <c r="F126" s="5" t="s">
        <v>63</v>
      </c>
      <c r="G126" s="5" t="n">
        <v>77095</v>
      </c>
      <c r="H126" s="5" t="s">
        <v>64</v>
      </c>
      <c r="I126" s="5" t="s">
        <v>65</v>
      </c>
      <c r="J126" s="5" t="s">
        <v>88</v>
      </c>
      <c r="K126" s="6" t="n">
        <v>46.42</v>
      </c>
      <c r="L126" s="5" t="n">
        <v>3</v>
      </c>
      <c r="M126" s="7" t="n">
        <v>0.5</v>
      </c>
      <c r="N126" s="6" t="n">
        <v>-2.32</v>
      </c>
    </row>
    <row r="127" customFormat="false" ht="15" hidden="false" customHeight="false" outlineLevel="0" collapsed="false">
      <c r="A127" s="5" t="s">
        <v>300</v>
      </c>
      <c r="B127" s="5" t="s">
        <v>68</v>
      </c>
      <c r="C127" s="5" t="s">
        <v>50</v>
      </c>
      <c r="D127" s="5" t="s">
        <v>43</v>
      </c>
      <c r="E127" s="5" t="s">
        <v>107</v>
      </c>
      <c r="F127" s="5" t="s">
        <v>108</v>
      </c>
      <c r="G127" s="5" t="n">
        <v>7102</v>
      </c>
      <c r="H127" s="5" t="s">
        <v>46</v>
      </c>
      <c r="I127" s="5" t="s">
        <v>47</v>
      </c>
      <c r="J127" s="5" t="s">
        <v>84</v>
      </c>
      <c r="K127" s="6" t="n">
        <v>314.39</v>
      </c>
      <c r="L127" s="5" t="n">
        <v>2</v>
      </c>
      <c r="M127" s="7" t="n">
        <v>0</v>
      </c>
      <c r="N127" s="6" t="n">
        <v>31.13</v>
      </c>
    </row>
    <row r="128" customFormat="false" ht="15" hidden="false" customHeight="false" outlineLevel="0" collapsed="false">
      <c r="A128" s="5" t="s">
        <v>136</v>
      </c>
      <c r="B128" s="5" t="s">
        <v>68</v>
      </c>
      <c r="C128" s="5" t="s">
        <v>69</v>
      </c>
      <c r="D128" s="5" t="s">
        <v>43</v>
      </c>
      <c r="E128" s="5" t="s">
        <v>95</v>
      </c>
      <c r="F128" s="5" t="s">
        <v>96</v>
      </c>
      <c r="G128" s="5" t="n">
        <v>97206</v>
      </c>
      <c r="H128" s="5" t="s">
        <v>72</v>
      </c>
      <c r="I128" s="5" t="s">
        <v>47</v>
      </c>
      <c r="J128" s="5" t="s">
        <v>48</v>
      </c>
      <c r="K128" s="6" t="n">
        <v>144.28</v>
      </c>
      <c r="L128" s="5" t="n">
        <v>8</v>
      </c>
      <c r="M128" s="7" t="n">
        <v>0</v>
      </c>
      <c r="N128" s="6" t="n">
        <v>22.43</v>
      </c>
    </row>
    <row r="129" customFormat="false" ht="15" hidden="false" customHeight="false" outlineLevel="0" collapsed="false">
      <c r="A129" s="5" t="s">
        <v>85</v>
      </c>
      <c r="B129" s="5" t="s">
        <v>68</v>
      </c>
      <c r="C129" s="5" t="s">
        <v>50</v>
      </c>
      <c r="D129" s="5" t="s">
        <v>43</v>
      </c>
      <c r="E129" s="5" t="s">
        <v>70</v>
      </c>
      <c r="F129" s="5" t="s">
        <v>71</v>
      </c>
      <c r="G129" s="5" t="n">
        <v>80219</v>
      </c>
      <c r="H129" s="5" t="s">
        <v>72</v>
      </c>
      <c r="I129" s="5" t="s">
        <v>47</v>
      </c>
      <c r="J129" s="5" t="s">
        <v>86</v>
      </c>
      <c r="K129" s="6" t="n">
        <v>206.18</v>
      </c>
      <c r="L129" s="5" t="n">
        <v>6</v>
      </c>
      <c r="M129" s="7" t="n">
        <v>0</v>
      </c>
      <c r="N129" s="6" t="n">
        <v>11.43</v>
      </c>
    </row>
    <row r="130" customFormat="false" ht="15" hidden="false" customHeight="false" outlineLevel="0" collapsed="false">
      <c r="A130" s="5" t="s">
        <v>190</v>
      </c>
      <c r="B130" s="5" t="s">
        <v>83</v>
      </c>
      <c r="C130" s="5" t="s">
        <v>50</v>
      </c>
      <c r="D130" s="5" t="s">
        <v>43</v>
      </c>
      <c r="E130" s="5" t="s">
        <v>118</v>
      </c>
      <c r="F130" s="5" t="s">
        <v>119</v>
      </c>
      <c r="G130" s="5" t="n">
        <v>98103</v>
      </c>
      <c r="H130" s="5" t="s">
        <v>72</v>
      </c>
      <c r="I130" s="5" t="s">
        <v>65</v>
      </c>
      <c r="J130" s="5" t="s">
        <v>138</v>
      </c>
      <c r="K130" s="6" t="n">
        <v>54.37</v>
      </c>
      <c r="L130" s="5" t="n">
        <v>9</v>
      </c>
      <c r="M130" s="7" t="n">
        <v>0.1</v>
      </c>
      <c r="N130" s="6" t="n">
        <v>11.47</v>
      </c>
    </row>
    <row r="131" customFormat="false" ht="15" hidden="false" customHeight="false" outlineLevel="0" collapsed="false">
      <c r="A131" s="5" t="s">
        <v>220</v>
      </c>
      <c r="B131" s="5" t="s">
        <v>57</v>
      </c>
      <c r="C131" s="5" t="s">
        <v>69</v>
      </c>
      <c r="D131" s="5" t="s">
        <v>43</v>
      </c>
      <c r="E131" s="5" t="s">
        <v>104</v>
      </c>
      <c r="F131" s="5" t="s">
        <v>105</v>
      </c>
      <c r="G131" s="5" t="n">
        <v>28205</v>
      </c>
      <c r="H131" s="5" t="s">
        <v>53</v>
      </c>
      <c r="I131" s="5" t="s">
        <v>47</v>
      </c>
      <c r="J131" s="5" t="s">
        <v>60</v>
      </c>
      <c r="K131" s="6" t="n">
        <v>269.82</v>
      </c>
      <c r="L131" s="5" t="n">
        <v>2</v>
      </c>
      <c r="M131" s="7" t="n">
        <v>0.2</v>
      </c>
      <c r="N131" s="6" t="n">
        <v>1.67</v>
      </c>
    </row>
    <row r="132" customFormat="false" ht="15" hidden="false" customHeight="false" outlineLevel="0" collapsed="false">
      <c r="A132" s="5" t="s">
        <v>165</v>
      </c>
      <c r="B132" s="5" t="s">
        <v>57</v>
      </c>
      <c r="C132" s="5" t="s">
        <v>69</v>
      </c>
      <c r="D132" s="5" t="s">
        <v>43</v>
      </c>
      <c r="E132" s="5" t="s">
        <v>118</v>
      </c>
      <c r="F132" s="5" t="s">
        <v>119</v>
      </c>
      <c r="G132" s="5" t="n">
        <v>98103</v>
      </c>
      <c r="H132" s="5" t="s">
        <v>72</v>
      </c>
      <c r="I132" s="5" t="s">
        <v>65</v>
      </c>
      <c r="J132" s="5" t="s">
        <v>133</v>
      </c>
      <c r="K132" s="6" t="n">
        <v>53.79</v>
      </c>
      <c r="L132" s="5" t="n">
        <v>9</v>
      </c>
      <c r="M132" s="7" t="n">
        <v>0.1</v>
      </c>
      <c r="N132" s="6" t="n">
        <v>18.03</v>
      </c>
    </row>
    <row r="133" customFormat="false" ht="15" hidden="false" customHeight="false" outlineLevel="0" collapsed="false">
      <c r="A133" s="5" t="s">
        <v>333</v>
      </c>
      <c r="B133" s="5" t="s">
        <v>57</v>
      </c>
      <c r="C133" s="5" t="s">
        <v>69</v>
      </c>
      <c r="D133" s="5" t="s">
        <v>43</v>
      </c>
      <c r="E133" s="5" t="s">
        <v>114</v>
      </c>
      <c r="F133" s="5" t="s">
        <v>115</v>
      </c>
      <c r="G133" s="5" t="n">
        <v>90036</v>
      </c>
      <c r="H133" s="5" t="s">
        <v>72</v>
      </c>
      <c r="I133" s="5" t="s">
        <v>65</v>
      </c>
      <c r="J133" s="5" t="s">
        <v>124</v>
      </c>
      <c r="K133" s="6" t="n">
        <v>35.25</v>
      </c>
      <c r="L133" s="5" t="n">
        <v>5</v>
      </c>
      <c r="M133" s="7" t="n">
        <v>0</v>
      </c>
      <c r="N133" s="6" t="n">
        <v>12.21</v>
      </c>
    </row>
    <row r="134" customFormat="false" ht="15" hidden="false" customHeight="false" outlineLevel="0" collapsed="false">
      <c r="A134" s="5" t="s">
        <v>358</v>
      </c>
      <c r="B134" s="5" t="s">
        <v>83</v>
      </c>
      <c r="C134" s="5" t="s">
        <v>42</v>
      </c>
      <c r="D134" s="5" t="s">
        <v>43</v>
      </c>
      <c r="E134" s="5" t="s">
        <v>100</v>
      </c>
      <c r="F134" s="5" t="s">
        <v>101</v>
      </c>
      <c r="G134" s="5" t="n">
        <v>19140</v>
      </c>
      <c r="H134" s="5" t="s">
        <v>46</v>
      </c>
      <c r="I134" s="5" t="s">
        <v>54</v>
      </c>
      <c r="J134" s="5" t="s">
        <v>55</v>
      </c>
      <c r="K134" s="6" t="n">
        <v>34.85</v>
      </c>
      <c r="L134" s="5" t="n">
        <v>1</v>
      </c>
      <c r="M134" s="7" t="n">
        <v>0.5</v>
      </c>
      <c r="N134" s="6" t="n">
        <v>1.1</v>
      </c>
    </row>
    <row r="135" customFormat="false" ht="15" hidden="false" customHeight="false" outlineLevel="0" collapsed="false">
      <c r="A135" s="5" t="s">
        <v>393</v>
      </c>
      <c r="B135" s="5" t="s">
        <v>83</v>
      </c>
      <c r="C135" s="5" t="s">
        <v>50</v>
      </c>
      <c r="D135" s="5" t="s">
        <v>43</v>
      </c>
      <c r="E135" s="5" t="s">
        <v>44</v>
      </c>
      <c r="F135" s="5" t="s">
        <v>45</v>
      </c>
      <c r="G135" s="5" t="n">
        <v>10011</v>
      </c>
      <c r="H135" s="5" t="s">
        <v>46</v>
      </c>
      <c r="I135" s="5" t="s">
        <v>65</v>
      </c>
      <c r="J135" s="5" t="s">
        <v>122</v>
      </c>
      <c r="K135" s="6" t="n">
        <v>61.61</v>
      </c>
      <c r="L135" s="5" t="n">
        <v>7</v>
      </c>
      <c r="M135" s="7" t="n">
        <v>0</v>
      </c>
      <c r="N135" s="6" t="n">
        <v>22.2</v>
      </c>
    </row>
    <row r="136" customFormat="false" ht="15" hidden="false" customHeight="false" outlineLevel="0" collapsed="false">
      <c r="A136" s="5" t="s">
        <v>374</v>
      </c>
      <c r="B136" s="5" t="s">
        <v>68</v>
      </c>
      <c r="C136" s="5" t="s">
        <v>42</v>
      </c>
      <c r="D136" s="5" t="s">
        <v>43</v>
      </c>
      <c r="E136" s="5" t="s">
        <v>75</v>
      </c>
      <c r="F136" s="5" t="s">
        <v>76</v>
      </c>
      <c r="G136" s="5" t="n">
        <v>60610</v>
      </c>
      <c r="H136" s="5" t="s">
        <v>64</v>
      </c>
      <c r="I136" s="5" t="s">
        <v>65</v>
      </c>
      <c r="J136" s="5" t="s">
        <v>88</v>
      </c>
      <c r="K136" s="6" t="n">
        <v>68.56</v>
      </c>
      <c r="L136" s="5" t="n">
        <v>6</v>
      </c>
      <c r="M136" s="7" t="n">
        <v>0.2</v>
      </c>
      <c r="N136" s="6" t="n">
        <v>9.98</v>
      </c>
    </row>
    <row r="137" customFormat="false" ht="15" hidden="false" customHeight="false" outlineLevel="0" collapsed="false">
      <c r="A137" s="5" t="s">
        <v>111</v>
      </c>
      <c r="B137" s="5" t="s">
        <v>41</v>
      </c>
      <c r="C137" s="5" t="s">
        <v>42</v>
      </c>
      <c r="D137" s="5" t="s">
        <v>43</v>
      </c>
      <c r="E137" s="5" t="s">
        <v>112</v>
      </c>
      <c r="F137" s="5" t="s">
        <v>63</v>
      </c>
      <c r="G137" s="5" t="n">
        <v>75217</v>
      </c>
      <c r="H137" s="5" t="s">
        <v>64</v>
      </c>
      <c r="I137" s="5" t="s">
        <v>54</v>
      </c>
      <c r="J137" s="5" t="s">
        <v>73</v>
      </c>
      <c r="K137" s="6" t="n">
        <v>181.91</v>
      </c>
      <c r="L137" s="5" t="n">
        <v>4</v>
      </c>
      <c r="M137" s="7" t="n">
        <v>0.15</v>
      </c>
      <c r="N137" s="6" t="n">
        <v>41.13</v>
      </c>
    </row>
    <row r="138" customFormat="false" ht="15" hidden="false" customHeight="false" outlineLevel="0" collapsed="false">
      <c r="A138" s="5" t="s">
        <v>353</v>
      </c>
      <c r="B138" s="5" t="s">
        <v>83</v>
      </c>
      <c r="C138" s="5" t="s">
        <v>69</v>
      </c>
      <c r="D138" s="5" t="s">
        <v>43</v>
      </c>
      <c r="E138" s="5" t="s">
        <v>114</v>
      </c>
      <c r="F138" s="5" t="s">
        <v>115</v>
      </c>
      <c r="G138" s="5" t="n">
        <v>90036</v>
      </c>
      <c r="H138" s="5" t="s">
        <v>72</v>
      </c>
      <c r="I138" s="5" t="s">
        <v>47</v>
      </c>
      <c r="J138" s="5" t="s">
        <v>60</v>
      </c>
      <c r="K138" s="6" t="n">
        <v>63.15</v>
      </c>
      <c r="L138" s="5" t="n">
        <v>7</v>
      </c>
      <c r="M138" s="7" t="n">
        <v>0</v>
      </c>
      <c r="N138" s="6" t="n">
        <v>9.23</v>
      </c>
    </row>
    <row r="139" customFormat="false" ht="15" hidden="false" customHeight="false" outlineLevel="0" collapsed="false">
      <c r="A139" s="5" t="s">
        <v>271</v>
      </c>
      <c r="B139" s="5" t="s">
        <v>68</v>
      </c>
      <c r="C139" s="5" t="s">
        <v>50</v>
      </c>
      <c r="D139" s="5" t="s">
        <v>43</v>
      </c>
      <c r="E139" s="5" t="s">
        <v>176</v>
      </c>
      <c r="F139" s="5" t="s">
        <v>177</v>
      </c>
      <c r="G139" s="5" t="n">
        <v>55407</v>
      </c>
      <c r="H139" s="5" t="s">
        <v>64</v>
      </c>
      <c r="I139" s="5" t="s">
        <v>47</v>
      </c>
      <c r="J139" s="5" t="s">
        <v>60</v>
      </c>
      <c r="K139" s="6" t="n">
        <v>137.61</v>
      </c>
      <c r="L139" s="5" t="n">
        <v>7</v>
      </c>
      <c r="M139" s="7" t="n">
        <v>0.5</v>
      </c>
      <c r="N139" s="6" t="n">
        <v>-12.68</v>
      </c>
    </row>
    <row r="140" customFormat="false" ht="15" hidden="false" customHeight="false" outlineLevel="0" collapsed="false">
      <c r="A140" s="5" t="s">
        <v>400</v>
      </c>
      <c r="B140" s="5" t="s">
        <v>41</v>
      </c>
      <c r="C140" s="5" t="s">
        <v>50</v>
      </c>
      <c r="D140" s="5" t="s">
        <v>43</v>
      </c>
      <c r="E140" s="5" t="s">
        <v>51</v>
      </c>
      <c r="F140" s="5" t="s">
        <v>52</v>
      </c>
      <c r="G140" s="5" t="n">
        <v>37211</v>
      </c>
      <c r="H140" s="5" t="s">
        <v>53</v>
      </c>
      <c r="I140" s="5" t="s">
        <v>47</v>
      </c>
      <c r="J140" s="5" t="s">
        <v>48</v>
      </c>
      <c r="K140" s="6" t="n">
        <v>135.22</v>
      </c>
      <c r="L140" s="5" t="n">
        <v>9</v>
      </c>
      <c r="M140" s="7" t="n">
        <v>0</v>
      </c>
      <c r="N140" s="6" t="n">
        <v>22.2</v>
      </c>
    </row>
    <row r="141" customFormat="false" ht="15" hidden="false" customHeight="false" outlineLevel="0" collapsed="false">
      <c r="A141" s="5" t="s">
        <v>381</v>
      </c>
      <c r="B141" s="5" t="s">
        <v>68</v>
      </c>
      <c r="C141" s="5" t="s">
        <v>50</v>
      </c>
      <c r="D141" s="5" t="s">
        <v>43</v>
      </c>
      <c r="E141" s="5" t="s">
        <v>95</v>
      </c>
      <c r="F141" s="5" t="s">
        <v>96</v>
      </c>
      <c r="G141" s="5" t="n">
        <v>97206</v>
      </c>
      <c r="H141" s="5" t="s">
        <v>72</v>
      </c>
      <c r="I141" s="5" t="s">
        <v>47</v>
      </c>
      <c r="J141" s="5" t="s">
        <v>60</v>
      </c>
      <c r="K141" s="6" t="n">
        <v>171.13</v>
      </c>
      <c r="L141" s="5" t="n">
        <v>8</v>
      </c>
      <c r="M141" s="7" t="n">
        <v>0.4</v>
      </c>
      <c r="N141" s="6" t="n">
        <v>-23.09</v>
      </c>
    </row>
    <row r="142" customFormat="false" ht="15" hidden="false" customHeight="false" outlineLevel="0" collapsed="false">
      <c r="A142" s="5" t="s">
        <v>49</v>
      </c>
      <c r="B142" s="5" t="s">
        <v>41</v>
      </c>
      <c r="C142" s="5" t="s">
        <v>50</v>
      </c>
      <c r="D142" s="5" t="s">
        <v>43</v>
      </c>
      <c r="E142" s="5" t="s">
        <v>51</v>
      </c>
      <c r="F142" s="5" t="s">
        <v>52</v>
      </c>
      <c r="G142" s="5" t="n">
        <v>37211</v>
      </c>
      <c r="H142" s="5" t="s">
        <v>53</v>
      </c>
      <c r="I142" s="5" t="s">
        <v>54</v>
      </c>
      <c r="J142" s="5" t="s">
        <v>55</v>
      </c>
      <c r="K142" s="6" t="n">
        <v>50</v>
      </c>
      <c r="L142" s="5" t="n">
        <v>4</v>
      </c>
      <c r="M142" s="7" t="n">
        <v>0</v>
      </c>
      <c r="N142" s="6" t="n">
        <v>11.09</v>
      </c>
    </row>
    <row r="143" customFormat="false" ht="15" hidden="false" customHeight="false" outlineLevel="0" collapsed="false">
      <c r="A143" s="5" t="s">
        <v>87</v>
      </c>
      <c r="B143" s="5" t="s">
        <v>68</v>
      </c>
      <c r="C143" s="5" t="s">
        <v>69</v>
      </c>
      <c r="D143" s="5" t="s">
        <v>43</v>
      </c>
      <c r="E143" s="5" t="s">
        <v>44</v>
      </c>
      <c r="F143" s="5" t="s">
        <v>45</v>
      </c>
      <c r="G143" s="5" t="n">
        <v>10011</v>
      </c>
      <c r="H143" s="5" t="s">
        <v>46</v>
      </c>
      <c r="I143" s="5" t="s">
        <v>65</v>
      </c>
      <c r="J143" s="5" t="s">
        <v>88</v>
      </c>
      <c r="K143" s="6" t="n">
        <v>137.56</v>
      </c>
      <c r="L143" s="5" t="n">
        <v>9</v>
      </c>
      <c r="M143" s="7" t="n">
        <v>0</v>
      </c>
      <c r="N143" s="6" t="n">
        <v>52.23</v>
      </c>
    </row>
    <row r="144" customFormat="false" ht="15" hidden="false" customHeight="false" outlineLevel="0" collapsed="false">
      <c r="A144" s="5" t="s">
        <v>189</v>
      </c>
      <c r="B144" s="5" t="s">
        <v>83</v>
      </c>
      <c r="C144" s="5" t="s">
        <v>50</v>
      </c>
      <c r="D144" s="5" t="s">
        <v>43</v>
      </c>
      <c r="E144" s="5" t="s">
        <v>75</v>
      </c>
      <c r="F144" s="5" t="s">
        <v>76</v>
      </c>
      <c r="G144" s="5" t="n">
        <v>60610</v>
      </c>
      <c r="H144" s="5" t="s">
        <v>64</v>
      </c>
      <c r="I144" s="5" t="s">
        <v>65</v>
      </c>
      <c r="J144" s="5" t="s">
        <v>133</v>
      </c>
      <c r="K144" s="6" t="n">
        <v>415.54</v>
      </c>
      <c r="L144" s="5" t="n">
        <v>5</v>
      </c>
      <c r="M144" s="7" t="n">
        <v>0.1</v>
      </c>
      <c r="N144" s="6" t="n">
        <v>119.75</v>
      </c>
    </row>
    <row r="145" customFormat="false" ht="15" hidden="false" customHeight="false" outlineLevel="0" collapsed="false">
      <c r="A145" s="5" t="s">
        <v>280</v>
      </c>
      <c r="B145" s="5" t="s">
        <v>68</v>
      </c>
      <c r="C145" s="5" t="s">
        <v>69</v>
      </c>
      <c r="D145" s="5" t="s">
        <v>43</v>
      </c>
      <c r="E145" s="5" t="s">
        <v>75</v>
      </c>
      <c r="F145" s="5" t="s">
        <v>76</v>
      </c>
      <c r="G145" s="5" t="n">
        <v>60610</v>
      </c>
      <c r="H145" s="5" t="s">
        <v>64</v>
      </c>
      <c r="I145" s="5" t="s">
        <v>47</v>
      </c>
      <c r="J145" s="5" t="s">
        <v>60</v>
      </c>
      <c r="K145" s="6" t="n">
        <v>154.91</v>
      </c>
      <c r="L145" s="5" t="n">
        <v>8</v>
      </c>
      <c r="M145" s="7" t="n">
        <v>0.3</v>
      </c>
      <c r="N145" s="6" t="n">
        <v>-18.51</v>
      </c>
    </row>
    <row r="146" customFormat="false" ht="15" hidden="false" customHeight="false" outlineLevel="0" collapsed="false">
      <c r="A146" s="5" t="s">
        <v>332</v>
      </c>
      <c r="B146" s="5" t="s">
        <v>68</v>
      </c>
      <c r="C146" s="5" t="s">
        <v>42</v>
      </c>
      <c r="D146" s="5" t="s">
        <v>43</v>
      </c>
      <c r="E146" s="5" t="s">
        <v>95</v>
      </c>
      <c r="F146" s="5" t="s">
        <v>96</v>
      </c>
      <c r="G146" s="5" t="n">
        <v>97206</v>
      </c>
      <c r="H146" s="5" t="s">
        <v>72</v>
      </c>
      <c r="I146" s="5" t="s">
        <v>54</v>
      </c>
      <c r="J146" s="5" t="s">
        <v>73</v>
      </c>
      <c r="K146" s="6" t="n">
        <v>107.64</v>
      </c>
      <c r="L146" s="5" t="n">
        <v>1</v>
      </c>
      <c r="M146" s="7" t="n">
        <v>0.4</v>
      </c>
      <c r="N146" s="6" t="n">
        <v>14.41</v>
      </c>
    </row>
    <row r="147" customFormat="false" ht="15" hidden="false" customHeight="false" outlineLevel="0" collapsed="false">
      <c r="A147" s="5" t="s">
        <v>164</v>
      </c>
      <c r="B147" s="5" t="s">
        <v>41</v>
      </c>
      <c r="C147" s="5" t="s">
        <v>50</v>
      </c>
      <c r="D147" s="5" t="s">
        <v>43</v>
      </c>
      <c r="E147" s="5" t="s">
        <v>118</v>
      </c>
      <c r="F147" s="5" t="s">
        <v>119</v>
      </c>
      <c r="G147" s="5" t="n">
        <v>98103</v>
      </c>
      <c r="H147" s="5" t="s">
        <v>72</v>
      </c>
      <c r="I147" s="5" t="s">
        <v>54</v>
      </c>
      <c r="J147" s="5" t="s">
        <v>55</v>
      </c>
      <c r="K147" s="6" t="n">
        <v>29.49</v>
      </c>
      <c r="L147" s="5" t="n">
        <v>5</v>
      </c>
      <c r="M147" s="7" t="n">
        <v>0.1</v>
      </c>
      <c r="N147" s="6" t="n">
        <v>11.36</v>
      </c>
    </row>
    <row r="148" customFormat="false" ht="15" hidden="false" customHeight="false" outlineLevel="0" collapsed="false">
      <c r="A148" s="5" t="s">
        <v>170</v>
      </c>
      <c r="B148" s="5" t="s">
        <v>83</v>
      </c>
      <c r="C148" s="5" t="s">
        <v>69</v>
      </c>
      <c r="D148" s="5" t="s">
        <v>43</v>
      </c>
      <c r="E148" s="5" t="s">
        <v>104</v>
      </c>
      <c r="F148" s="5" t="s">
        <v>105</v>
      </c>
      <c r="G148" s="5" t="n">
        <v>28205</v>
      </c>
      <c r="H148" s="5" t="s">
        <v>53</v>
      </c>
      <c r="I148" s="5" t="s">
        <v>54</v>
      </c>
      <c r="J148" s="5" t="s">
        <v>73</v>
      </c>
      <c r="K148" s="6" t="n">
        <v>13.43</v>
      </c>
      <c r="L148" s="5" t="n">
        <v>1</v>
      </c>
      <c r="M148" s="7" t="n">
        <v>0.2</v>
      </c>
      <c r="N148" s="6" t="n">
        <v>3.66</v>
      </c>
    </row>
    <row r="149" customFormat="false" ht="15" hidden="false" customHeight="false" outlineLevel="0" collapsed="false">
      <c r="A149" s="5" t="s">
        <v>123</v>
      </c>
      <c r="B149" s="5" t="s">
        <v>41</v>
      </c>
      <c r="C149" s="5" t="s">
        <v>42</v>
      </c>
      <c r="D149" s="5" t="s">
        <v>43</v>
      </c>
      <c r="E149" s="5" t="s">
        <v>58</v>
      </c>
      <c r="F149" s="5" t="s">
        <v>59</v>
      </c>
      <c r="G149" s="5" t="n">
        <v>30318</v>
      </c>
      <c r="H149" s="5" t="s">
        <v>53</v>
      </c>
      <c r="I149" s="5" t="s">
        <v>65</v>
      </c>
      <c r="J149" s="5" t="s">
        <v>124</v>
      </c>
      <c r="K149" s="6" t="n">
        <v>58.56</v>
      </c>
      <c r="L149" s="5" t="n">
        <v>9</v>
      </c>
      <c r="M149" s="7" t="n">
        <v>0.4</v>
      </c>
      <c r="N149" s="6" t="n">
        <v>4.18</v>
      </c>
    </row>
    <row r="150" customFormat="false" ht="15" hidden="false" customHeight="false" outlineLevel="0" collapsed="false">
      <c r="A150" s="5" t="s">
        <v>306</v>
      </c>
      <c r="B150" s="5" t="s">
        <v>68</v>
      </c>
      <c r="C150" s="5" t="s">
        <v>42</v>
      </c>
      <c r="D150" s="5" t="s">
        <v>43</v>
      </c>
      <c r="E150" s="5" t="s">
        <v>75</v>
      </c>
      <c r="F150" s="5" t="s">
        <v>76</v>
      </c>
      <c r="G150" s="5" t="n">
        <v>60610</v>
      </c>
      <c r="H150" s="5" t="s">
        <v>64</v>
      </c>
      <c r="I150" s="5" t="s">
        <v>47</v>
      </c>
      <c r="J150" s="5" t="s">
        <v>48</v>
      </c>
      <c r="K150" s="6" t="n">
        <v>162.96</v>
      </c>
      <c r="L150" s="5" t="n">
        <v>5</v>
      </c>
      <c r="M150" s="7" t="n">
        <v>0.1</v>
      </c>
      <c r="N150" s="6" t="n">
        <v>19.05</v>
      </c>
    </row>
    <row r="151" customFormat="false" ht="15" hidden="false" customHeight="false" outlineLevel="0" collapsed="false">
      <c r="A151" s="5" t="s">
        <v>284</v>
      </c>
      <c r="B151" s="5" t="s">
        <v>68</v>
      </c>
      <c r="C151" s="5" t="s">
        <v>50</v>
      </c>
      <c r="D151" s="5" t="s">
        <v>43</v>
      </c>
      <c r="E151" s="5" t="s">
        <v>70</v>
      </c>
      <c r="F151" s="5" t="s">
        <v>71</v>
      </c>
      <c r="G151" s="5" t="n">
        <v>80219</v>
      </c>
      <c r="H151" s="5" t="s">
        <v>72</v>
      </c>
      <c r="I151" s="5" t="s">
        <v>54</v>
      </c>
      <c r="J151" s="5" t="s">
        <v>93</v>
      </c>
      <c r="K151" s="6" t="n">
        <v>919.58</v>
      </c>
      <c r="L151" s="5" t="n">
        <v>8</v>
      </c>
      <c r="M151" s="7" t="n">
        <v>0.7</v>
      </c>
      <c r="N151" s="6" t="n">
        <v>93.99</v>
      </c>
    </row>
    <row r="152" customFormat="false" ht="15" hidden="false" customHeight="false" outlineLevel="0" collapsed="false">
      <c r="A152" s="5" t="s">
        <v>146</v>
      </c>
      <c r="B152" s="5" t="s">
        <v>41</v>
      </c>
      <c r="C152" s="5" t="s">
        <v>42</v>
      </c>
      <c r="D152" s="5" t="s">
        <v>43</v>
      </c>
      <c r="E152" s="5" t="s">
        <v>100</v>
      </c>
      <c r="F152" s="5" t="s">
        <v>101</v>
      </c>
      <c r="G152" s="5" t="n">
        <v>19140</v>
      </c>
      <c r="H152" s="5" t="s">
        <v>46</v>
      </c>
      <c r="I152" s="5" t="s">
        <v>65</v>
      </c>
      <c r="J152" s="5" t="s">
        <v>66</v>
      </c>
      <c r="K152" s="6" t="n">
        <v>25.45</v>
      </c>
      <c r="L152" s="5" t="n">
        <v>5</v>
      </c>
      <c r="M152" s="7" t="n">
        <v>0.1</v>
      </c>
      <c r="N152" s="6" t="n">
        <v>4.14</v>
      </c>
    </row>
    <row r="153" customFormat="false" ht="15" hidden="false" customHeight="false" outlineLevel="0" collapsed="false">
      <c r="A153" s="5" t="s">
        <v>319</v>
      </c>
      <c r="B153" s="5" t="s">
        <v>83</v>
      </c>
      <c r="C153" s="5" t="s">
        <v>42</v>
      </c>
      <c r="D153" s="5" t="s">
        <v>43</v>
      </c>
      <c r="E153" s="5" t="s">
        <v>91</v>
      </c>
      <c r="F153" s="5" t="s">
        <v>92</v>
      </c>
      <c r="G153" s="5" t="n">
        <v>33311</v>
      </c>
      <c r="H153" s="5" t="s">
        <v>53</v>
      </c>
      <c r="I153" s="5" t="s">
        <v>65</v>
      </c>
      <c r="J153" s="5" t="s">
        <v>66</v>
      </c>
      <c r="K153" s="6" t="n">
        <v>45.77</v>
      </c>
      <c r="L153" s="5" t="n">
        <v>4</v>
      </c>
      <c r="M153" s="7" t="n">
        <v>0.3</v>
      </c>
      <c r="N153" s="6" t="n">
        <v>2.24</v>
      </c>
    </row>
    <row r="154" customFormat="false" ht="15" hidden="false" customHeight="false" outlineLevel="0" collapsed="false">
      <c r="A154" s="5" t="s">
        <v>399</v>
      </c>
      <c r="B154" s="5" t="s">
        <v>41</v>
      </c>
      <c r="C154" s="5" t="s">
        <v>69</v>
      </c>
      <c r="D154" s="5" t="s">
        <v>43</v>
      </c>
      <c r="E154" s="5" t="s">
        <v>44</v>
      </c>
      <c r="F154" s="5" t="s">
        <v>45</v>
      </c>
      <c r="G154" s="5" t="n">
        <v>10011</v>
      </c>
      <c r="H154" s="5" t="s">
        <v>46</v>
      </c>
      <c r="I154" s="5" t="s">
        <v>54</v>
      </c>
      <c r="J154" s="5" t="s">
        <v>55</v>
      </c>
      <c r="K154" s="6" t="n">
        <v>580.16</v>
      </c>
      <c r="L154" s="5" t="n">
        <v>6</v>
      </c>
      <c r="M154" s="7" t="n">
        <v>0.1</v>
      </c>
      <c r="N154" s="6" t="n">
        <v>187.73</v>
      </c>
    </row>
    <row r="155" customFormat="false" ht="15" hidden="false" customHeight="false" outlineLevel="0" collapsed="false">
      <c r="A155" s="5" t="s">
        <v>338</v>
      </c>
      <c r="B155" s="5" t="s">
        <v>41</v>
      </c>
      <c r="C155" s="5" t="s">
        <v>42</v>
      </c>
      <c r="D155" s="5" t="s">
        <v>43</v>
      </c>
      <c r="E155" s="5" t="s">
        <v>100</v>
      </c>
      <c r="F155" s="5" t="s">
        <v>101</v>
      </c>
      <c r="G155" s="5" t="n">
        <v>19140</v>
      </c>
      <c r="H155" s="5" t="s">
        <v>46</v>
      </c>
      <c r="I155" s="5" t="s">
        <v>54</v>
      </c>
      <c r="J155" s="5" t="s">
        <v>55</v>
      </c>
      <c r="K155" s="6" t="n">
        <v>20.58</v>
      </c>
      <c r="L155" s="5" t="n">
        <v>5</v>
      </c>
      <c r="M155" s="7" t="n">
        <v>0.2</v>
      </c>
      <c r="N155" s="6" t="n">
        <v>4.02</v>
      </c>
    </row>
    <row r="156" customFormat="false" ht="15" hidden="false" customHeight="false" outlineLevel="0" collapsed="false">
      <c r="A156" s="5" t="s">
        <v>389</v>
      </c>
      <c r="B156" s="5" t="s">
        <v>68</v>
      </c>
      <c r="C156" s="5" t="s">
        <v>69</v>
      </c>
      <c r="D156" s="5" t="s">
        <v>43</v>
      </c>
      <c r="E156" s="5" t="s">
        <v>62</v>
      </c>
      <c r="F156" s="5" t="s">
        <v>63</v>
      </c>
      <c r="G156" s="5" t="n">
        <v>77095</v>
      </c>
      <c r="H156" s="5" t="s">
        <v>64</v>
      </c>
      <c r="I156" s="5" t="s">
        <v>65</v>
      </c>
      <c r="J156" s="5" t="s">
        <v>120</v>
      </c>
      <c r="K156" s="6" t="n">
        <v>37.4</v>
      </c>
      <c r="L156" s="5" t="n">
        <v>7</v>
      </c>
      <c r="M156" s="7" t="n">
        <v>0.3</v>
      </c>
      <c r="N156" s="6" t="n">
        <v>5.3</v>
      </c>
    </row>
    <row r="157" customFormat="false" ht="15" hidden="false" customHeight="false" outlineLevel="0" collapsed="false">
      <c r="A157" s="5" t="s">
        <v>310</v>
      </c>
      <c r="B157" s="5" t="s">
        <v>41</v>
      </c>
      <c r="C157" s="5" t="s">
        <v>42</v>
      </c>
      <c r="D157" s="5" t="s">
        <v>43</v>
      </c>
      <c r="E157" s="5" t="s">
        <v>58</v>
      </c>
      <c r="F157" s="5" t="s">
        <v>59</v>
      </c>
      <c r="G157" s="5" t="n">
        <v>30318</v>
      </c>
      <c r="H157" s="5" t="s">
        <v>53</v>
      </c>
      <c r="I157" s="5" t="s">
        <v>65</v>
      </c>
      <c r="J157" s="5" t="s">
        <v>88</v>
      </c>
      <c r="K157" s="6" t="n">
        <v>42.97</v>
      </c>
      <c r="L157" s="5" t="n">
        <v>3</v>
      </c>
      <c r="M157" s="7" t="n">
        <v>0.5</v>
      </c>
      <c r="N157" s="6" t="n">
        <v>-2.82</v>
      </c>
    </row>
    <row r="158" customFormat="false" ht="15" hidden="false" customHeight="false" outlineLevel="0" collapsed="false">
      <c r="A158" s="5" t="s">
        <v>343</v>
      </c>
      <c r="B158" s="5" t="s">
        <v>41</v>
      </c>
      <c r="C158" s="5" t="s">
        <v>50</v>
      </c>
      <c r="D158" s="5" t="s">
        <v>43</v>
      </c>
      <c r="E158" s="5" t="s">
        <v>75</v>
      </c>
      <c r="F158" s="5" t="s">
        <v>76</v>
      </c>
      <c r="G158" s="5" t="n">
        <v>60610</v>
      </c>
      <c r="H158" s="5" t="s">
        <v>64</v>
      </c>
      <c r="I158" s="5" t="s">
        <v>65</v>
      </c>
      <c r="J158" s="5" t="s">
        <v>122</v>
      </c>
      <c r="K158" s="6" t="n">
        <v>57.01</v>
      </c>
      <c r="L158" s="5" t="n">
        <v>6</v>
      </c>
      <c r="M158" s="7" t="n">
        <v>0</v>
      </c>
      <c r="N158" s="6" t="n">
        <v>21.38</v>
      </c>
    </row>
    <row r="159" customFormat="false" ht="15" hidden="false" customHeight="false" outlineLevel="0" collapsed="false">
      <c r="A159" s="5" t="s">
        <v>318</v>
      </c>
      <c r="B159" s="5" t="s">
        <v>57</v>
      </c>
      <c r="C159" s="5" t="s">
        <v>50</v>
      </c>
      <c r="D159" s="5" t="s">
        <v>43</v>
      </c>
      <c r="E159" s="5" t="s">
        <v>104</v>
      </c>
      <c r="F159" s="5" t="s">
        <v>105</v>
      </c>
      <c r="G159" s="5" t="n">
        <v>28205</v>
      </c>
      <c r="H159" s="5" t="s">
        <v>53</v>
      </c>
      <c r="I159" s="5" t="s">
        <v>54</v>
      </c>
      <c r="J159" s="5" t="s">
        <v>77</v>
      </c>
      <c r="K159" s="6" t="n">
        <v>22.84</v>
      </c>
      <c r="L159" s="5" t="n">
        <v>6</v>
      </c>
      <c r="M159" s="7" t="n">
        <v>0.2</v>
      </c>
      <c r="N159" s="6" t="n">
        <v>10.04</v>
      </c>
    </row>
    <row r="160" customFormat="false" ht="15" hidden="false" customHeight="false" outlineLevel="0" collapsed="false">
      <c r="A160" s="5" t="s">
        <v>287</v>
      </c>
      <c r="B160" s="5" t="s">
        <v>41</v>
      </c>
      <c r="C160" s="5" t="s">
        <v>69</v>
      </c>
      <c r="D160" s="5" t="s">
        <v>43</v>
      </c>
      <c r="E160" s="5" t="s">
        <v>44</v>
      </c>
      <c r="F160" s="5" t="s">
        <v>45</v>
      </c>
      <c r="G160" s="5" t="n">
        <v>10011</v>
      </c>
      <c r="H160" s="5" t="s">
        <v>46</v>
      </c>
      <c r="I160" s="5" t="s">
        <v>65</v>
      </c>
      <c r="J160" s="5" t="s">
        <v>66</v>
      </c>
      <c r="K160" s="6" t="n">
        <v>105.53</v>
      </c>
      <c r="L160" s="5" t="n">
        <v>9</v>
      </c>
      <c r="M160" s="7" t="n">
        <v>0</v>
      </c>
      <c r="N160" s="6" t="n">
        <v>33.08</v>
      </c>
    </row>
    <row r="161" customFormat="false" ht="15" hidden="false" customHeight="false" outlineLevel="0" collapsed="false">
      <c r="A161" s="5" t="s">
        <v>234</v>
      </c>
      <c r="B161" s="5" t="s">
        <v>68</v>
      </c>
      <c r="C161" s="5" t="s">
        <v>50</v>
      </c>
      <c r="D161" s="5" t="s">
        <v>43</v>
      </c>
      <c r="E161" s="5" t="s">
        <v>58</v>
      </c>
      <c r="F161" s="5" t="s">
        <v>59</v>
      </c>
      <c r="G161" s="5" t="n">
        <v>30318</v>
      </c>
      <c r="H161" s="5" t="s">
        <v>53</v>
      </c>
      <c r="I161" s="5" t="s">
        <v>47</v>
      </c>
      <c r="J161" s="5" t="s">
        <v>86</v>
      </c>
      <c r="K161" s="6" t="n">
        <v>527.15</v>
      </c>
      <c r="L161" s="5" t="n">
        <v>1</v>
      </c>
      <c r="M161" s="7" t="n">
        <v>0.7</v>
      </c>
      <c r="N161" s="6" t="n">
        <v>-206.78</v>
      </c>
    </row>
    <row r="162" customFormat="false" ht="15" hidden="false" customHeight="false" outlineLevel="0" collapsed="false">
      <c r="A162" s="5" t="s">
        <v>296</v>
      </c>
      <c r="B162" s="5" t="s">
        <v>68</v>
      </c>
      <c r="C162" s="5" t="s">
        <v>42</v>
      </c>
      <c r="D162" s="5" t="s">
        <v>43</v>
      </c>
      <c r="E162" s="5" t="s">
        <v>107</v>
      </c>
      <c r="F162" s="5" t="s">
        <v>108</v>
      </c>
      <c r="G162" s="5" t="n">
        <v>7102</v>
      </c>
      <c r="H162" s="5" t="s">
        <v>46</v>
      </c>
      <c r="I162" s="5" t="s">
        <v>47</v>
      </c>
      <c r="J162" s="5" t="s">
        <v>84</v>
      </c>
      <c r="K162" s="6" t="n">
        <v>210.94</v>
      </c>
      <c r="L162" s="5" t="n">
        <v>3</v>
      </c>
      <c r="M162" s="7" t="n">
        <v>0.2</v>
      </c>
      <c r="N162" s="6" t="n">
        <v>-20.1</v>
      </c>
    </row>
    <row r="163" customFormat="false" ht="15" hidden="false" customHeight="false" outlineLevel="0" collapsed="false">
      <c r="A163" s="5" t="s">
        <v>161</v>
      </c>
      <c r="B163" s="5" t="s">
        <v>41</v>
      </c>
      <c r="C163" s="5" t="s">
        <v>69</v>
      </c>
      <c r="D163" s="5" t="s">
        <v>43</v>
      </c>
      <c r="E163" s="5" t="s">
        <v>62</v>
      </c>
      <c r="F163" s="5" t="s">
        <v>63</v>
      </c>
      <c r="G163" s="5" t="n">
        <v>77095</v>
      </c>
      <c r="H163" s="5" t="s">
        <v>64</v>
      </c>
      <c r="I163" s="5" t="s">
        <v>47</v>
      </c>
      <c r="J163" s="5" t="s">
        <v>84</v>
      </c>
      <c r="K163" s="6" t="n">
        <v>130.11</v>
      </c>
      <c r="L163" s="5" t="n">
        <v>6</v>
      </c>
      <c r="M163" s="7" t="n">
        <v>0</v>
      </c>
      <c r="N163" s="6" t="n">
        <v>2.65</v>
      </c>
    </row>
    <row r="164" customFormat="false" ht="15" hidden="false" customHeight="false" outlineLevel="0" collapsed="false">
      <c r="A164" s="5" t="s">
        <v>302</v>
      </c>
      <c r="B164" s="5" t="s">
        <v>68</v>
      </c>
      <c r="C164" s="5" t="s">
        <v>69</v>
      </c>
      <c r="D164" s="5" t="s">
        <v>43</v>
      </c>
      <c r="E164" s="5" t="s">
        <v>44</v>
      </c>
      <c r="F164" s="5" t="s">
        <v>45</v>
      </c>
      <c r="G164" s="5" t="n">
        <v>10011</v>
      </c>
      <c r="H164" s="5" t="s">
        <v>46</v>
      </c>
      <c r="I164" s="5" t="s">
        <v>47</v>
      </c>
      <c r="J164" s="5" t="s">
        <v>86</v>
      </c>
      <c r="K164" s="6" t="n">
        <v>70.21</v>
      </c>
      <c r="L164" s="5" t="n">
        <v>8</v>
      </c>
      <c r="M164" s="7" t="n">
        <v>0.15</v>
      </c>
      <c r="N164" s="6" t="n">
        <v>-6.43</v>
      </c>
    </row>
    <row r="165" customFormat="false" ht="15" hidden="false" customHeight="false" outlineLevel="0" collapsed="false">
      <c r="A165" s="5" t="s">
        <v>266</v>
      </c>
      <c r="B165" s="5" t="s">
        <v>68</v>
      </c>
      <c r="C165" s="5" t="s">
        <v>42</v>
      </c>
      <c r="D165" s="5" t="s">
        <v>43</v>
      </c>
      <c r="E165" s="5" t="s">
        <v>118</v>
      </c>
      <c r="F165" s="5" t="s">
        <v>119</v>
      </c>
      <c r="G165" s="5" t="n">
        <v>98103</v>
      </c>
      <c r="H165" s="5" t="s">
        <v>72</v>
      </c>
      <c r="I165" s="5" t="s">
        <v>65</v>
      </c>
      <c r="J165" s="5" t="s">
        <v>138</v>
      </c>
      <c r="K165" s="6" t="n">
        <v>88.57</v>
      </c>
      <c r="L165" s="5" t="n">
        <v>3</v>
      </c>
      <c r="M165" s="7" t="n">
        <v>0.5</v>
      </c>
      <c r="N165" s="6" t="n">
        <v>-4.25</v>
      </c>
    </row>
    <row r="166" customFormat="false" ht="15" hidden="false" customHeight="false" outlineLevel="0" collapsed="false">
      <c r="A166" s="5" t="s">
        <v>156</v>
      </c>
      <c r="B166" s="5" t="s">
        <v>83</v>
      </c>
      <c r="C166" s="5" t="s">
        <v>50</v>
      </c>
      <c r="D166" s="5" t="s">
        <v>43</v>
      </c>
      <c r="E166" s="5" t="s">
        <v>95</v>
      </c>
      <c r="F166" s="5" t="s">
        <v>96</v>
      </c>
      <c r="G166" s="5" t="n">
        <v>97206</v>
      </c>
      <c r="H166" s="5" t="s">
        <v>72</v>
      </c>
      <c r="I166" s="5" t="s">
        <v>65</v>
      </c>
      <c r="J166" s="5" t="s">
        <v>109</v>
      </c>
      <c r="K166" s="6" t="n">
        <v>265.99</v>
      </c>
      <c r="L166" s="5" t="n">
        <v>3</v>
      </c>
      <c r="M166" s="7" t="n">
        <v>0.2</v>
      </c>
      <c r="N166" s="6" t="n">
        <v>35.93</v>
      </c>
    </row>
    <row r="167" customFormat="false" ht="15" hidden="false" customHeight="false" outlineLevel="0" collapsed="false">
      <c r="A167" s="5" t="s">
        <v>206</v>
      </c>
      <c r="B167" s="5" t="s">
        <v>83</v>
      </c>
      <c r="C167" s="5" t="s">
        <v>69</v>
      </c>
      <c r="D167" s="5" t="s">
        <v>43</v>
      </c>
      <c r="E167" s="5" t="s">
        <v>62</v>
      </c>
      <c r="F167" s="5" t="s">
        <v>63</v>
      </c>
      <c r="G167" s="5" t="n">
        <v>77095</v>
      </c>
      <c r="H167" s="5" t="s">
        <v>64</v>
      </c>
      <c r="I167" s="5" t="s">
        <v>65</v>
      </c>
      <c r="J167" s="5" t="s">
        <v>138</v>
      </c>
      <c r="K167" s="6" t="n">
        <v>10.43</v>
      </c>
      <c r="L167" s="5" t="n">
        <v>6</v>
      </c>
      <c r="M167" s="7" t="n">
        <v>0</v>
      </c>
      <c r="N167" s="6" t="n">
        <v>3.13</v>
      </c>
    </row>
    <row r="168" customFormat="false" ht="15" hidden="false" customHeight="false" outlineLevel="0" collapsed="false">
      <c r="A168" s="5" t="s">
        <v>282</v>
      </c>
      <c r="B168" s="5" t="s">
        <v>57</v>
      </c>
      <c r="C168" s="5" t="s">
        <v>50</v>
      </c>
      <c r="D168" s="5" t="s">
        <v>43</v>
      </c>
      <c r="E168" s="5" t="s">
        <v>176</v>
      </c>
      <c r="F168" s="5" t="s">
        <v>177</v>
      </c>
      <c r="G168" s="5" t="n">
        <v>55407</v>
      </c>
      <c r="H168" s="5" t="s">
        <v>64</v>
      </c>
      <c r="I168" s="5" t="s">
        <v>54</v>
      </c>
      <c r="J168" s="5" t="s">
        <v>77</v>
      </c>
      <c r="K168" s="6" t="n">
        <v>137.63</v>
      </c>
      <c r="L168" s="5" t="n">
        <v>6</v>
      </c>
      <c r="M168" s="7" t="n">
        <v>0.2</v>
      </c>
      <c r="N168" s="6" t="n">
        <v>56.63</v>
      </c>
    </row>
    <row r="169" customFormat="false" ht="15" hidden="false" customHeight="false" outlineLevel="0" collapsed="false">
      <c r="A169" s="5" t="s">
        <v>256</v>
      </c>
      <c r="B169" s="5" t="s">
        <v>41</v>
      </c>
      <c r="C169" s="5" t="s">
        <v>50</v>
      </c>
      <c r="D169" s="5" t="s">
        <v>43</v>
      </c>
      <c r="E169" s="5" t="s">
        <v>112</v>
      </c>
      <c r="F169" s="5" t="s">
        <v>63</v>
      </c>
      <c r="G169" s="5" t="n">
        <v>75217</v>
      </c>
      <c r="H169" s="5" t="s">
        <v>64</v>
      </c>
      <c r="I169" s="5" t="s">
        <v>54</v>
      </c>
      <c r="J169" s="5" t="s">
        <v>93</v>
      </c>
      <c r="K169" s="6" t="n">
        <v>660.15</v>
      </c>
      <c r="L169" s="5" t="n">
        <v>9</v>
      </c>
      <c r="M169" s="7" t="n">
        <v>0.2</v>
      </c>
      <c r="N169" s="6" t="n">
        <v>-158.49</v>
      </c>
    </row>
    <row r="170" customFormat="false" ht="15" hidden="false" customHeight="false" outlineLevel="0" collapsed="false">
      <c r="A170" s="5" t="s">
        <v>201</v>
      </c>
      <c r="B170" s="5" t="s">
        <v>83</v>
      </c>
      <c r="C170" s="5" t="s">
        <v>69</v>
      </c>
      <c r="D170" s="5" t="s">
        <v>43</v>
      </c>
      <c r="E170" s="5" t="s">
        <v>70</v>
      </c>
      <c r="F170" s="5" t="s">
        <v>71</v>
      </c>
      <c r="G170" s="5" t="n">
        <v>80219</v>
      </c>
      <c r="H170" s="5" t="s">
        <v>72</v>
      </c>
      <c r="I170" s="5" t="s">
        <v>65</v>
      </c>
      <c r="J170" s="5" t="s">
        <v>138</v>
      </c>
      <c r="K170" s="6" t="n">
        <v>137.46</v>
      </c>
      <c r="L170" s="5" t="n">
        <v>8</v>
      </c>
      <c r="M170" s="7" t="n">
        <v>0.4</v>
      </c>
      <c r="N170" s="6" t="n">
        <v>17.7</v>
      </c>
    </row>
    <row r="171" customFormat="false" ht="15" hidden="false" customHeight="false" outlineLevel="0" collapsed="false">
      <c r="A171" s="5" t="s">
        <v>150</v>
      </c>
      <c r="B171" s="5" t="s">
        <v>57</v>
      </c>
      <c r="C171" s="5" t="s">
        <v>42</v>
      </c>
      <c r="D171" s="5" t="s">
        <v>43</v>
      </c>
      <c r="E171" s="5" t="s">
        <v>62</v>
      </c>
      <c r="F171" s="5" t="s">
        <v>63</v>
      </c>
      <c r="G171" s="5" t="n">
        <v>77095</v>
      </c>
      <c r="H171" s="5" t="s">
        <v>64</v>
      </c>
      <c r="I171" s="5" t="s">
        <v>47</v>
      </c>
      <c r="J171" s="5" t="s">
        <v>84</v>
      </c>
      <c r="K171" s="6" t="n">
        <v>313.3</v>
      </c>
      <c r="L171" s="5" t="n">
        <v>2</v>
      </c>
      <c r="M171" s="7" t="n">
        <v>0</v>
      </c>
      <c r="N171" s="6" t="n">
        <v>6.13</v>
      </c>
    </row>
    <row r="172" customFormat="false" ht="15" hidden="false" customHeight="false" outlineLevel="0" collapsed="false">
      <c r="A172" s="5" t="s">
        <v>283</v>
      </c>
      <c r="B172" s="5" t="s">
        <v>41</v>
      </c>
      <c r="C172" s="5" t="s">
        <v>69</v>
      </c>
      <c r="D172" s="5" t="s">
        <v>43</v>
      </c>
      <c r="E172" s="5" t="s">
        <v>44</v>
      </c>
      <c r="F172" s="5" t="s">
        <v>45</v>
      </c>
      <c r="G172" s="5" t="n">
        <v>10011</v>
      </c>
      <c r="H172" s="5" t="s">
        <v>46</v>
      </c>
      <c r="I172" s="5" t="s">
        <v>65</v>
      </c>
      <c r="J172" s="5" t="s">
        <v>120</v>
      </c>
      <c r="K172" s="6" t="n">
        <v>88.04</v>
      </c>
      <c r="L172" s="5" t="n">
        <v>9</v>
      </c>
      <c r="M172" s="7" t="n">
        <v>0.3</v>
      </c>
      <c r="N172" s="6" t="n">
        <v>8.17</v>
      </c>
    </row>
    <row r="173" customFormat="false" ht="15" hidden="false" customHeight="false" outlineLevel="0" collapsed="false">
      <c r="A173" s="5" t="s">
        <v>224</v>
      </c>
      <c r="B173" s="5" t="s">
        <v>57</v>
      </c>
      <c r="C173" s="5" t="s">
        <v>50</v>
      </c>
      <c r="D173" s="5" t="s">
        <v>43</v>
      </c>
      <c r="E173" s="5" t="s">
        <v>51</v>
      </c>
      <c r="F173" s="5" t="s">
        <v>52</v>
      </c>
      <c r="G173" s="5" t="n">
        <v>37211</v>
      </c>
      <c r="H173" s="5" t="s">
        <v>53</v>
      </c>
      <c r="I173" s="5" t="s">
        <v>54</v>
      </c>
      <c r="J173" s="5" t="s">
        <v>73</v>
      </c>
      <c r="K173" s="6" t="n">
        <v>38.74</v>
      </c>
      <c r="L173" s="5" t="n">
        <v>4</v>
      </c>
      <c r="M173" s="7" t="n">
        <v>0.2</v>
      </c>
      <c r="N173" s="6" t="n">
        <v>8.68</v>
      </c>
    </row>
    <row r="174" customFormat="false" ht="15" hidden="false" customHeight="false" outlineLevel="0" collapsed="false">
      <c r="A174" s="5" t="s">
        <v>371</v>
      </c>
      <c r="B174" s="5" t="s">
        <v>83</v>
      </c>
      <c r="C174" s="5" t="s">
        <v>50</v>
      </c>
      <c r="D174" s="5" t="s">
        <v>43</v>
      </c>
      <c r="E174" s="5" t="s">
        <v>100</v>
      </c>
      <c r="F174" s="5" t="s">
        <v>101</v>
      </c>
      <c r="G174" s="5" t="n">
        <v>19140</v>
      </c>
      <c r="H174" s="5" t="s">
        <v>46</v>
      </c>
      <c r="I174" s="5" t="s">
        <v>47</v>
      </c>
      <c r="J174" s="5" t="s">
        <v>86</v>
      </c>
      <c r="K174" s="6" t="n">
        <v>276.85</v>
      </c>
      <c r="L174" s="5" t="n">
        <v>1</v>
      </c>
      <c r="M174" s="7" t="n">
        <v>0.2</v>
      </c>
      <c r="N174" s="6" t="n">
        <v>-20.51</v>
      </c>
    </row>
    <row r="175" customFormat="false" ht="15" hidden="false" customHeight="false" outlineLevel="0" collapsed="false">
      <c r="A175" s="5" t="s">
        <v>263</v>
      </c>
      <c r="B175" s="5" t="s">
        <v>83</v>
      </c>
      <c r="C175" s="5" t="s">
        <v>42</v>
      </c>
      <c r="D175" s="5" t="s">
        <v>43</v>
      </c>
      <c r="E175" s="5" t="s">
        <v>114</v>
      </c>
      <c r="F175" s="5" t="s">
        <v>115</v>
      </c>
      <c r="G175" s="5" t="n">
        <v>90036</v>
      </c>
      <c r="H175" s="5" t="s">
        <v>72</v>
      </c>
      <c r="I175" s="5" t="s">
        <v>47</v>
      </c>
      <c r="J175" s="5" t="s">
        <v>48</v>
      </c>
      <c r="K175" s="6" t="n">
        <v>306.46</v>
      </c>
      <c r="L175" s="5" t="n">
        <v>6</v>
      </c>
      <c r="M175" s="7" t="n">
        <v>0.3</v>
      </c>
      <c r="N175" s="6" t="n">
        <v>-6.08</v>
      </c>
    </row>
    <row r="176" customFormat="false" ht="15" hidden="false" customHeight="false" outlineLevel="0" collapsed="false">
      <c r="A176" s="5" t="s">
        <v>401</v>
      </c>
      <c r="B176" s="5" t="s">
        <v>68</v>
      </c>
      <c r="C176" s="5" t="s">
        <v>42</v>
      </c>
      <c r="D176" s="5" t="s">
        <v>43</v>
      </c>
      <c r="E176" s="5" t="s">
        <v>176</v>
      </c>
      <c r="F176" s="5" t="s">
        <v>177</v>
      </c>
      <c r="G176" s="5" t="n">
        <v>55407</v>
      </c>
      <c r="H176" s="5" t="s">
        <v>64</v>
      </c>
      <c r="I176" s="5" t="s">
        <v>47</v>
      </c>
      <c r="J176" s="5" t="s">
        <v>86</v>
      </c>
      <c r="K176" s="6" t="n">
        <v>89.04</v>
      </c>
      <c r="L176" s="5" t="n">
        <v>1</v>
      </c>
      <c r="M176" s="7" t="n">
        <v>0.5</v>
      </c>
      <c r="N176" s="6" t="n">
        <v>-31.34</v>
      </c>
    </row>
    <row r="177" customFormat="false" ht="15" hidden="false" customHeight="false" outlineLevel="0" collapsed="false">
      <c r="A177" s="5" t="s">
        <v>204</v>
      </c>
      <c r="B177" s="5" t="s">
        <v>83</v>
      </c>
      <c r="C177" s="5" t="s">
        <v>50</v>
      </c>
      <c r="D177" s="5" t="s">
        <v>43</v>
      </c>
      <c r="E177" s="5" t="s">
        <v>79</v>
      </c>
      <c r="F177" s="5" t="s">
        <v>80</v>
      </c>
      <c r="G177" s="5" t="n">
        <v>2127</v>
      </c>
      <c r="H177" s="5" t="s">
        <v>46</v>
      </c>
      <c r="I177" s="5" t="s">
        <v>54</v>
      </c>
      <c r="J177" s="5" t="s">
        <v>55</v>
      </c>
      <c r="K177" s="6" t="n">
        <v>102</v>
      </c>
      <c r="L177" s="5" t="n">
        <v>2</v>
      </c>
      <c r="M177" s="7" t="n">
        <v>0</v>
      </c>
      <c r="N177" s="6" t="n">
        <v>43.16</v>
      </c>
    </row>
    <row r="178" customFormat="false" ht="15" hidden="false" customHeight="false" outlineLevel="0" collapsed="false">
      <c r="A178" s="5" t="s">
        <v>244</v>
      </c>
      <c r="B178" s="5" t="s">
        <v>68</v>
      </c>
      <c r="C178" s="5" t="s">
        <v>42</v>
      </c>
      <c r="D178" s="5" t="s">
        <v>43</v>
      </c>
      <c r="E178" s="5" t="s">
        <v>51</v>
      </c>
      <c r="F178" s="5" t="s">
        <v>52</v>
      </c>
      <c r="G178" s="5" t="n">
        <v>37211</v>
      </c>
      <c r="H178" s="5" t="s">
        <v>53</v>
      </c>
      <c r="I178" s="5" t="s">
        <v>47</v>
      </c>
      <c r="J178" s="5" t="s">
        <v>60</v>
      </c>
      <c r="K178" s="6" t="n">
        <v>456.33</v>
      </c>
      <c r="L178" s="5" t="n">
        <v>6</v>
      </c>
      <c r="M178" s="7" t="n">
        <v>0</v>
      </c>
      <c r="N178" s="6" t="n">
        <v>48.35</v>
      </c>
    </row>
    <row r="179" customFormat="false" ht="15" hidden="false" customHeight="false" outlineLevel="0" collapsed="false">
      <c r="A179" s="5" t="s">
        <v>269</v>
      </c>
      <c r="B179" s="5" t="s">
        <v>57</v>
      </c>
      <c r="C179" s="5" t="s">
        <v>42</v>
      </c>
      <c r="D179" s="5" t="s">
        <v>43</v>
      </c>
      <c r="E179" s="5" t="s">
        <v>104</v>
      </c>
      <c r="F179" s="5" t="s">
        <v>105</v>
      </c>
      <c r="G179" s="5" t="n">
        <v>28205</v>
      </c>
      <c r="H179" s="5" t="s">
        <v>53</v>
      </c>
      <c r="I179" s="5" t="s">
        <v>47</v>
      </c>
      <c r="J179" s="5" t="s">
        <v>48</v>
      </c>
      <c r="K179" s="6" t="n">
        <v>487.33</v>
      </c>
      <c r="L179" s="5" t="n">
        <v>8</v>
      </c>
      <c r="M179" s="7" t="n">
        <v>0</v>
      </c>
      <c r="N179" s="6" t="n">
        <v>63.01</v>
      </c>
    </row>
    <row r="180" customFormat="false" ht="15" hidden="false" customHeight="false" outlineLevel="0" collapsed="false">
      <c r="A180" s="5" t="s">
        <v>227</v>
      </c>
      <c r="B180" s="5" t="s">
        <v>68</v>
      </c>
      <c r="C180" s="5" t="s">
        <v>69</v>
      </c>
      <c r="D180" s="5" t="s">
        <v>43</v>
      </c>
      <c r="E180" s="5" t="s">
        <v>70</v>
      </c>
      <c r="F180" s="5" t="s">
        <v>71</v>
      </c>
      <c r="G180" s="5" t="n">
        <v>80219</v>
      </c>
      <c r="H180" s="5" t="s">
        <v>72</v>
      </c>
      <c r="I180" s="5" t="s">
        <v>65</v>
      </c>
      <c r="J180" s="5" t="s">
        <v>138</v>
      </c>
      <c r="K180" s="6" t="n">
        <v>13.25</v>
      </c>
      <c r="L180" s="5" t="n">
        <v>8</v>
      </c>
      <c r="M180" s="7" t="n">
        <v>0.4</v>
      </c>
      <c r="N180" s="6" t="n">
        <v>0.57</v>
      </c>
    </row>
    <row r="181" customFormat="false" ht="15" hidden="false" customHeight="false" outlineLevel="0" collapsed="false">
      <c r="A181" s="5" t="s">
        <v>299</v>
      </c>
      <c r="B181" s="5" t="s">
        <v>83</v>
      </c>
      <c r="C181" s="5" t="s">
        <v>42</v>
      </c>
      <c r="D181" s="5" t="s">
        <v>43</v>
      </c>
      <c r="E181" s="5" t="s">
        <v>70</v>
      </c>
      <c r="F181" s="5" t="s">
        <v>71</v>
      </c>
      <c r="G181" s="5" t="n">
        <v>80219</v>
      </c>
      <c r="H181" s="5" t="s">
        <v>72</v>
      </c>
      <c r="I181" s="5" t="s">
        <v>65</v>
      </c>
      <c r="J181" s="5" t="s">
        <v>109</v>
      </c>
      <c r="K181" s="6" t="n">
        <v>174.97</v>
      </c>
      <c r="L181" s="5" t="n">
        <v>4</v>
      </c>
      <c r="M181" s="7" t="n">
        <v>0.15</v>
      </c>
      <c r="N181" s="6" t="n">
        <v>41.96</v>
      </c>
    </row>
    <row r="182" customFormat="false" ht="15" hidden="false" customHeight="false" outlineLevel="0" collapsed="false">
      <c r="A182" s="5" t="s">
        <v>128</v>
      </c>
      <c r="B182" s="5" t="s">
        <v>41</v>
      </c>
      <c r="C182" s="5" t="s">
        <v>69</v>
      </c>
      <c r="D182" s="5" t="s">
        <v>43</v>
      </c>
      <c r="E182" s="5" t="s">
        <v>95</v>
      </c>
      <c r="F182" s="5" t="s">
        <v>96</v>
      </c>
      <c r="G182" s="5" t="n">
        <v>97206</v>
      </c>
      <c r="H182" s="5" t="s">
        <v>72</v>
      </c>
      <c r="I182" s="5" t="s">
        <v>65</v>
      </c>
      <c r="J182" s="5" t="s">
        <v>122</v>
      </c>
      <c r="K182" s="6" t="n">
        <v>11.89</v>
      </c>
      <c r="L182" s="5" t="n">
        <v>9</v>
      </c>
      <c r="M182" s="7" t="n">
        <v>0.2</v>
      </c>
      <c r="N182" s="6" t="n">
        <v>2.57</v>
      </c>
    </row>
    <row r="183" customFormat="false" ht="15" hidden="false" customHeight="false" outlineLevel="0" collapsed="false">
      <c r="A183" s="5" t="s">
        <v>149</v>
      </c>
      <c r="B183" s="5" t="s">
        <v>41</v>
      </c>
      <c r="C183" s="5" t="s">
        <v>42</v>
      </c>
      <c r="D183" s="5" t="s">
        <v>43</v>
      </c>
      <c r="E183" s="5" t="s">
        <v>95</v>
      </c>
      <c r="F183" s="5" t="s">
        <v>96</v>
      </c>
      <c r="G183" s="5" t="n">
        <v>97206</v>
      </c>
      <c r="H183" s="5" t="s">
        <v>72</v>
      </c>
      <c r="I183" s="5" t="s">
        <v>47</v>
      </c>
      <c r="J183" s="5" t="s">
        <v>60</v>
      </c>
      <c r="K183" s="6" t="n">
        <v>38.66</v>
      </c>
      <c r="L183" s="5" t="n">
        <v>1</v>
      </c>
      <c r="M183" s="7" t="n">
        <v>0.15</v>
      </c>
      <c r="N183" s="6" t="n">
        <v>2.61</v>
      </c>
    </row>
    <row r="184" customFormat="false" ht="15" hidden="false" customHeight="false" outlineLevel="0" collapsed="false">
      <c r="A184" s="5" t="s">
        <v>341</v>
      </c>
      <c r="B184" s="5" t="s">
        <v>57</v>
      </c>
      <c r="C184" s="5" t="s">
        <v>42</v>
      </c>
      <c r="D184" s="5" t="s">
        <v>43</v>
      </c>
      <c r="E184" s="5" t="s">
        <v>107</v>
      </c>
      <c r="F184" s="5" t="s">
        <v>108</v>
      </c>
      <c r="G184" s="5" t="n">
        <v>7102</v>
      </c>
      <c r="H184" s="5" t="s">
        <v>46</v>
      </c>
      <c r="I184" s="5" t="s">
        <v>54</v>
      </c>
      <c r="J184" s="5" t="s">
        <v>77</v>
      </c>
      <c r="K184" s="6" t="n">
        <v>166.73</v>
      </c>
      <c r="L184" s="5" t="n">
        <v>1</v>
      </c>
      <c r="M184" s="7" t="n">
        <v>0</v>
      </c>
      <c r="N184" s="6" t="n">
        <v>84.08</v>
      </c>
    </row>
    <row r="185" customFormat="false" ht="15" hidden="false" customHeight="false" outlineLevel="0" collapsed="false">
      <c r="A185" s="5" t="s">
        <v>273</v>
      </c>
      <c r="B185" s="5" t="s">
        <v>83</v>
      </c>
      <c r="C185" s="5" t="s">
        <v>50</v>
      </c>
      <c r="D185" s="5" t="s">
        <v>43</v>
      </c>
      <c r="E185" s="5" t="s">
        <v>70</v>
      </c>
      <c r="F185" s="5" t="s">
        <v>71</v>
      </c>
      <c r="G185" s="5" t="n">
        <v>80219</v>
      </c>
      <c r="H185" s="5" t="s">
        <v>72</v>
      </c>
      <c r="I185" s="5" t="s">
        <v>54</v>
      </c>
      <c r="J185" s="5" t="s">
        <v>73</v>
      </c>
      <c r="K185" s="6" t="n">
        <v>195.39</v>
      </c>
      <c r="L185" s="5" t="n">
        <v>3</v>
      </c>
      <c r="M185" s="7" t="n">
        <v>0.2</v>
      </c>
      <c r="N185" s="6" t="n">
        <v>56.95</v>
      </c>
    </row>
    <row r="186" customFormat="false" ht="15" hidden="false" customHeight="false" outlineLevel="0" collapsed="false">
      <c r="A186" s="5" t="s">
        <v>363</v>
      </c>
      <c r="B186" s="5" t="s">
        <v>83</v>
      </c>
      <c r="C186" s="5" t="s">
        <v>42</v>
      </c>
      <c r="D186" s="5" t="s">
        <v>43</v>
      </c>
      <c r="E186" s="5" t="s">
        <v>62</v>
      </c>
      <c r="F186" s="5" t="s">
        <v>63</v>
      </c>
      <c r="G186" s="5" t="n">
        <v>77095</v>
      </c>
      <c r="H186" s="5" t="s">
        <v>64</v>
      </c>
      <c r="I186" s="5" t="s">
        <v>54</v>
      </c>
      <c r="J186" s="5" t="s">
        <v>55</v>
      </c>
      <c r="K186" s="6" t="n">
        <v>73.29</v>
      </c>
      <c r="L186" s="5" t="n">
        <v>8</v>
      </c>
      <c r="M186" s="7" t="n">
        <v>0</v>
      </c>
      <c r="N186" s="6" t="n">
        <v>31.42</v>
      </c>
    </row>
    <row r="187" customFormat="false" ht="15" hidden="false" customHeight="false" outlineLevel="0" collapsed="false">
      <c r="A187" s="5" t="s">
        <v>154</v>
      </c>
      <c r="B187" s="5" t="s">
        <v>68</v>
      </c>
      <c r="C187" s="5" t="s">
        <v>50</v>
      </c>
      <c r="D187" s="5" t="s">
        <v>43</v>
      </c>
      <c r="E187" s="5" t="s">
        <v>79</v>
      </c>
      <c r="F187" s="5" t="s">
        <v>80</v>
      </c>
      <c r="G187" s="5" t="n">
        <v>2127</v>
      </c>
      <c r="H187" s="5" t="s">
        <v>46</v>
      </c>
      <c r="I187" s="5" t="s">
        <v>54</v>
      </c>
      <c r="J187" s="5" t="s">
        <v>93</v>
      </c>
      <c r="K187" s="6" t="n">
        <v>39.55</v>
      </c>
      <c r="L187" s="5" t="n">
        <v>2</v>
      </c>
      <c r="M187" s="7" t="n">
        <v>0.7</v>
      </c>
      <c r="N187" s="6" t="n">
        <v>3.39</v>
      </c>
    </row>
    <row r="188" customFormat="false" ht="15" hidden="false" customHeight="false" outlineLevel="0" collapsed="false">
      <c r="A188" s="5" t="s">
        <v>145</v>
      </c>
      <c r="B188" s="5" t="s">
        <v>41</v>
      </c>
      <c r="C188" s="5" t="s">
        <v>69</v>
      </c>
      <c r="D188" s="5" t="s">
        <v>43</v>
      </c>
      <c r="E188" s="5" t="s">
        <v>114</v>
      </c>
      <c r="F188" s="5" t="s">
        <v>115</v>
      </c>
      <c r="G188" s="5" t="n">
        <v>90036</v>
      </c>
      <c r="H188" s="5" t="s">
        <v>72</v>
      </c>
      <c r="I188" s="5" t="s">
        <v>65</v>
      </c>
      <c r="J188" s="5" t="s">
        <v>122</v>
      </c>
      <c r="K188" s="6" t="n">
        <v>7.04</v>
      </c>
      <c r="L188" s="5" t="n">
        <v>1</v>
      </c>
      <c r="M188" s="7" t="n">
        <v>0</v>
      </c>
      <c r="N188" s="6" t="n">
        <v>2.67</v>
      </c>
    </row>
    <row r="189" customFormat="false" ht="15" hidden="false" customHeight="false" outlineLevel="0" collapsed="false">
      <c r="A189" s="5" t="s">
        <v>320</v>
      </c>
      <c r="B189" s="5" t="s">
        <v>68</v>
      </c>
      <c r="C189" s="5" t="s">
        <v>42</v>
      </c>
      <c r="D189" s="5" t="s">
        <v>43</v>
      </c>
      <c r="E189" s="5" t="s">
        <v>112</v>
      </c>
      <c r="F189" s="5" t="s">
        <v>63</v>
      </c>
      <c r="G189" s="5" t="n">
        <v>75217</v>
      </c>
      <c r="H189" s="5" t="s">
        <v>64</v>
      </c>
      <c r="I189" s="5" t="s">
        <v>54</v>
      </c>
      <c r="J189" s="5" t="s">
        <v>77</v>
      </c>
      <c r="K189" s="6" t="n">
        <v>153.06</v>
      </c>
      <c r="L189" s="5" t="n">
        <v>4</v>
      </c>
      <c r="M189" s="7" t="n">
        <v>0.1</v>
      </c>
      <c r="N189" s="6" t="n">
        <v>64.2</v>
      </c>
    </row>
    <row r="190" customFormat="false" ht="15" hidden="false" customHeight="false" outlineLevel="0" collapsed="false">
      <c r="A190" s="5" t="s">
        <v>191</v>
      </c>
      <c r="B190" s="5" t="s">
        <v>68</v>
      </c>
      <c r="C190" s="5" t="s">
        <v>69</v>
      </c>
      <c r="D190" s="5" t="s">
        <v>43</v>
      </c>
      <c r="E190" s="5" t="s">
        <v>112</v>
      </c>
      <c r="F190" s="5" t="s">
        <v>63</v>
      </c>
      <c r="G190" s="5" t="n">
        <v>75217</v>
      </c>
      <c r="H190" s="5" t="s">
        <v>64</v>
      </c>
      <c r="I190" s="5" t="s">
        <v>65</v>
      </c>
      <c r="J190" s="5" t="s">
        <v>138</v>
      </c>
      <c r="K190" s="6" t="n">
        <v>72.3</v>
      </c>
      <c r="L190" s="5" t="n">
        <v>7</v>
      </c>
      <c r="M190" s="7" t="n">
        <v>0</v>
      </c>
      <c r="N190" s="6" t="n">
        <v>17.97</v>
      </c>
    </row>
    <row r="191" customFormat="false" ht="15" hidden="false" customHeight="false" outlineLevel="0" collapsed="false">
      <c r="A191" s="5" t="s">
        <v>262</v>
      </c>
      <c r="B191" s="5" t="s">
        <v>83</v>
      </c>
      <c r="C191" s="5" t="s">
        <v>50</v>
      </c>
      <c r="D191" s="5" t="s">
        <v>43</v>
      </c>
      <c r="E191" s="5" t="s">
        <v>95</v>
      </c>
      <c r="F191" s="5" t="s">
        <v>96</v>
      </c>
      <c r="G191" s="5" t="n">
        <v>97206</v>
      </c>
      <c r="H191" s="5" t="s">
        <v>72</v>
      </c>
      <c r="I191" s="5" t="s">
        <v>65</v>
      </c>
      <c r="J191" s="5" t="s">
        <v>122</v>
      </c>
      <c r="K191" s="6" t="n">
        <v>6.51</v>
      </c>
      <c r="L191" s="5" t="n">
        <v>8</v>
      </c>
      <c r="M191" s="7" t="n">
        <v>0</v>
      </c>
      <c r="N191" s="6" t="n">
        <v>2.73</v>
      </c>
    </row>
    <row r="192" customFormat="false" ht="15" hidden="false" customHeight="false" outlineLevel="0" collapsed="false">
      <c r="A192" s="5" t="s">
        <v>230</v>
      </c>
      <c r="B192" s="5" t="s">
        <v>57</v>
      </c>
      <c r="C192" s="5" t="s">
        <v>42</v>
      </c>
      <c r="D192" s="5" t="s">
        <v>43</v>
      </c>
      <c r="E192" s="5" t="s">
        <v>118</v>
      </c>
      <c r="F192" s="5" t="s">
        <v>119</v>
      </c>
      <c r="G192" s="5" t="n">
        <v>98103</v>
      </c>
      <c r="H192" s="5" t="s">
        <v>72</v>
      </c>
      <c r="I192" s="5" t="s">
        <v>65</v>
      </c>
      <c r="J192" s="5" t="s">
        <v>122</v>
      </c>
      <c r="K192" s="6" t="n">
        <v>52.24</v>
      </c>
      <c r="L192" s="5" t="n">
        <v>6</v>
      </c>
      <c r="M192" s="7" t="n">
        <v>0</v>
      </c>
      <c r="N192" s="6" t="n">
        <v>25.1</v>
      </c>
    </row>
    <row r="193" customFormat="false" ht="15" hidden="false" customHeight="false" outlineLevel="0" collapsed="false">
      <c r="A193" s="5" t="s">
        <v>257</v>
      </c>
      <c r="B193" s="5" t="s">
        <v>41</v>
      </c>
      <c r="C193" s="5" t="s">
        <v>50</v>
      </c>
      <c r="D193" s="5" t="s">
        <v>43</v>
      </c>
      <c r="E193" s="5" t="s">
        <v>118</v>
      </c>
      <c r="F193" s="5" t="s">
        <v>119</v>
      </c>
      <c r="G193" s="5" t="n">
        <v>98103</v>
      </c>
      <c r="H193" s="5" t="s">
        <v>72</v>
      </c>
      <c r="I193" s="5" t="s">
        <v>54</v>
      </c>
      <c r="J193" s="5" t="s">
        <v>77</v>
      </c>
      <c r="K193" s="6" t="n">
        <v>29.98</v>
      </c>
      <c r="L193" s="5" t="n">
        <v>8</v>
      </c>
      <c r="M193" s="7" t="n">
        <v>0.1</v>
      </c>
      <c r="N193" s="6" t="n">
        <v>13.76</v>
      </c>
    </row>
    <row r="194" customFormat="false" ht="15" hidden="false" customHeight="false" outlineLevel="0" collapsed="false">
      <c r="A194" s="5" t="s">
        <v>216</v>
      </c>
      <c r="B194" s="5" t="s">
        <v>41</v>
      </c>
      <c r="C194" s="5" t="s">
        <v>50</v>
      </c>
      <c r="D194" s="5" t="s">
        <v>43</v>
      </c>
      <c r="E194" s="5" t="s">
        <v>100</v>
      </c>
      <c r="F194" s="5" t="s">
        <v>101</v>
      </c>
      <c r="G194" s="5" t="n">
        <v>19140</v>
      </c>
      <c r="H194" s="5" t="s">
        <v>46</v>
      </c>
      <c r="I194" s="5" t="s">
        <v>47</v>
      </c>
      <c r="J194" s="5" t="s">
        <v>84</v>
      </c>
      <c r="K194" s="6" t="n">
        <v>67.74</v>
      </c>
      <c r="L194" s="5" t="n">
        <v>5</v>
      </c>
      <c r="M194" s="7" t="n">
        <v>0.2</v>
      </c>
      <c r="N194" s="6" t="n">
        <v>-9.62</v>
      </c>
    </row>
    <row r="195" customFormat="false" ht="15" hidden="false" customHeight="false" outlineLevel="0" collapsed="false">
      <c r="A195" s="5" t="s">
        <v>78</v>
      </c>
      <c r="B195" s="5" t="s">
        <v>41</v>
      </c>
      <c r="C195" s="5" t="s">
        <v>42</v>
      </c>
      <c r="D195" s="5" t="s">
        <v>43</v>
      </c>
      <c r="E195" s="5" t="s">
        <v>79</v>
      </c>
      <c r="F195" s="5" t="s">
        <v>80</v>
      </c>
      <c r="G195" s="5" t="n">
        <v>2127</v>
      </c>
      <c r="H195" s="5" t="s">
        <v>46</v>
      </c>
      <c r="I195" s="5" t="s">
        <v>65</v>
      </c>
      <c r="J195" s="5" t="s">
        <v>81</v>
      </c>
      <c r="K195" s="6" t="n">
        <v>41.95</v>
      </c>
      <c r="L195" s="5" t="n">
        <v>9</v>
      </c>
      <c r="M195" s="7" t="n">
        <v>0</v>
      </c>
      <c r="N195" s="6" t="n">
        <v>11.74</v>
      </c>
    </row>
    <row r="196" customFormat="false" ht="15" hidden="false" customHeight="false" outlineLevel="0" collapsed="false">
      <c r="A196" s="5" t="s">
        <v>337</v>
      </c>
      <c r="B196" s="5" t="s">
        <v>41</v>
      </c>
      <c r="C196" s="5" t="s">
        <v>42</v>
      </c>
      <c r="D196" s="5" t="s">
        <v>43</v>
      </c>
      <c r="E196" s="5" t="s">
        <v>79</v>
      </c>
      <c r="F196" s="5" t="s">
        <v>80</v>
      </c>
      <c r="G196" s="5" t="n">
        <v>2127</v>
      </c>
      <c r="H196" s="5" t="s">
        <v>46</v>
      </c>
      <c r="I196" s="5" t="s">
        <v>47</v>
      </c>
      <c r="J196" s="5" t="s">
        <v>86</v>
      </c>
      <c r="K196" s="6" t="n">
        <v>215.98</v>
      </c>
      <c r="L196" s="5" t="n">
        <v>4</v>
      </c>
      <c r="M196" s="7" t="n">
        <v>0</v>
      </c>
      <c r="N196" s="6" t="n">
        <v>4.58</v>
      </c>
    </row>
    <row r="197" customFormat="false" ht="15" hidden="false" customHeight="false" outlineLevel="0" collapsed="false">
      <c r="A197" s="5" t="s">
        <v>351</v>
      </c>
      <c r="B197" s="5" t="s">
        <v>41</v>
      </c>
      <c r="C197" s="5" t="s">
        <v>42</v>
      </c>
      <c r="D197" s="5" t="s">
        <v>43</v>
      </c>
      <c r="E197" s="5" t="s">
        <v>62</v>
      </c>
      <c r="F197" s="5" t="s">
        <v>63</v>
      </c>
      <c r="G197" s="5" t="n">
        <v>77095</v>
      </c>
      <c r="H197" s="5" t="s">
        <v>64</v>
      </c>
      <c r="I197" s="5" t="s">
        <v>47</v>
      </c>
      <c r="J197" s="5" t="s">
        <v>48</v>
      </c>
      <c r="K197" s="6" t="n">
        <v>132.54</v>
      </c>
      <c r="L197" s="5" t="n">
        <v>7</v>
      </c>
      <c r="M197" s="7" t="n">
        <v>0.1</v>
      </c>
      <c r="N197" s="6" t="n">
        <v>11.95</v>
      </c>
    </row>
    <row r="198" customFormat="false" ht="15" hidden="false" customHeight="false" outlineLevel="0" collapsed="false">
      <c r="A198" s="5" t="s">
        <v>110</v>
      </c>
      <c r="B198" s="5" t="s">
        <v>83</v>
      </c>
      <c r="C198" s="5" t="s">
        <v>42</v>
      </c>
      <c r="D198" s="5" t="s">
        <v>43</v>
      </c>
      <c r="E198" s="5" t="s">
        <v>91</v>
      </c>
      <c r="F198" s="5" t="s">
        <v>92</v>
      </c>
      <c r="G198" s="5" t="n">
        <v>33311</v>
      </c>
      <c r="H198" s="5" t="s">
        <v>53</v>
      </c>
      <c r="I198" s="5" t="s">
        <v>54</v>
      </c>
      <c r="J198" s="5" t="s">
        <v>93</v>
      </c>
      <c r="K198" s="6" t="n">
        <v>234.53</v>
      </c>
      <c r="L198" s="5" t="n">
        <v>3</v>
      </c>
      <c r="M198" s="7" t="n">
        <v>0</v>
      </c>
      <c r="N198" s="6" t="n">
        <v>100.34</v>
      </c>
    </row>
    <row r="199" customFormat="false" ht="15" hidden="false" customHeight="false" outlineLevel="0" collapsed="false">
      <c r="A199" s="5" t="s">
        <v>362</v>
      </c>
      <c r="B199" s="5" t="s">
        <v>68</v>
      </c>
      <c r="C199" s="5" t="s">
        <v>69</v>
      </c>
      <c r="D199" s="5" t="s">
        <v>43</v>
      </c>
      <c r="E199" s="5" t="s">
        <v>100</v>
      </c>
      <c r="F199" s="5" t="s">
        <v>101</v>
      </c>
      <c r="G199" s="5" t="n">
        <v>19140</v>
      </c>
      <c r="H199" s="5" t="s">
        <v>46</v>
      </c>
      <c r="I199" s="5" t="s">
        <v>54</v>
      </c>
      <c r="J199" s="5" t="s">
        <v>77</v>
      </c>
      <c r="K199" s="6" t="n">
        <v>24.28</v>
      </c>
      <c r="L199" s="5" t="n">
        <v>8</v>
      </c>
      <c r="M199" s="7" t="n">
        <v>0.2</v>
      </c>
      <c r="N199" s="6" t="n">
        <v>8.53</v>
      </c>
    </row>
    <row r="200" customFormat="false" ht="15" hidden="false" customHeight="false" outlineLevel="0" collapsed="false">
      <c r="A200" s="5" t="s">
        <v>364</v>
      </c>
      <c r="B200" s="5" t="s">
        <v>83</v>
      </c>
      <c r="C200" s="5" t="s">
        <v>42</v>
      </c>
      <c r="D200" s="5" t="s">
        <v>43</v>
      </c>
      <c r="E200" s="5" t="s">
        <v>79</v>
      </c>
      <c r="F200" s="5" t="s">
        <v>80</v>
      </c>
      <c r="G200" s="5" t="n">
        <v>2127</v>
      </c>
      <c r="H200" s="5" t="s">
        <v>46</v>
      </c>
      <c r="I200" s="5" t="s">
        <v>54</v>
      </c>
      <c r="J200" s="5" t="s">
        <v>77</v>
      </c>
      <c r="K200" s="6" t="n">
        <v>123.33</v>
      </c>
      <c r="L200" s="5" t="n">
        <v>4</v>
      </c>
      <c r="M200" s="7" t="n">
        <v>0</v>
      </c>
      <c r="N200" s="6" t="n">
        <v>59.78</v>
      </c>
    </row>
    <row r="201" customFormat="false" ht="15" hidden="false" customHeight="false" outlineLevel="0" collapsed="false">
      <c r="A201" s="5" t="s">
        <v>365</v>
      </c>
      <c r="B201" s="5" t="s">
        <v>41</v>
      </c>
      <c r="C201" s="5" t="s">
        <v>50</v>
      </c>
      <c r="D201" s="5" t="s">
        <v>43</v>
      </c>
      <c r="E201" s="5" t="s">
        <v>176</v>
      </c>
      <c r="F201" s="5" t="s">
        <v>177</v>
      </c>
      <c r="G201" s="5" t="n">
        <v>55407</v>
      </c>
      <c r="H201" s="5" t="s">
        <v>64</v>
      </c>
      <c r="I201" s="5" t="s">
        <v>54</v>
      </c>
      <c r="J201" s="5" t="s">
        <v>93</v>
      </c>
      <c r="K201" s="6" t="n">
        <v>126.65</v>
      </c>
      <c r="L201" s="5" t="n">
        <v>8</v>
      </c>
      <c r="M201" s="7" t="n">
        <v>0.2</v>
      </c>
      <c r="N201" s="6" t="n">
        <v>52.69</v>
      </c>
    </row>
    <row r="202" customFormat="false" ht="15" hidden="false" customHeight="false" outlineLevel="0" collapsed="false">
      <c r="A202" s="5" t="s">
        <v>372</v>
      </c>
      <c r="B202" s="5" t="s">
        <v>41</v>
      </c>
      <c r="C202" s="5" t="s">
        <v>50</v>
      </c>
      <c r="D202" s="5" t="s">
        <v>43</v>
      </c>
      <c r="E202" s="5" t="s">
        <v>95</v>
      </c>
      <c r="F202" s="5" t="s">
        <v>96</v>
      </c>
      <c r="G202" s="5" t="n">
        <v>97206</v>
      </c>
      <c r="H202" s="5" t="s">
        <v>72</v>
      </c>
      <c r="I202" s="5" t="s">
        <v>47</v>
      </c>
      <c r="J202" s="5" t="s">
        <v>60</v>
      </c>
      <c r="K202" s="6" t="n">
        <v>33.8</v>
      </c>
      <c r="L202" s="5" t="n">
        <v>6</v>
      </c>
      <c r="M202" s="7" t="n">
        <v>0.15</v>
      </c>
      <c r="N202" s="6" t="n">
        <v>-0.41</v>
      </c>
    </row>
    <row r="203" customFormat="false" ht="15" hidden="false" customHeight="false" outlineLevel="0" collapsed="false">
      <c r="A203" s="5" t="s">
        <v>229</v>
      </c>
      <c r="B203" s="5" t="s">
        <v>68</v>
      </c>
      <c r="C203" s="5" t="s">
        <v>42</v>
      </c>
      <c r="D203" s="5" t="s">
        <v>43</v>
      </c>
      <c r="E203" s="5" t="s">
        <v>104</v>
      </c>
      <c r="F203" s="5" t="s">
        <v>105</v>
      </c>
      <c r="G203" s="5" t="n">
        <v>28205</v>
      </c>
      <c r="H203" s="5" t="s">
        <v>53</v>
      </c>
      <c r="I203" s="5" t="s">
        <v>65</v>
      </c>
      <c r="J203" s="5" t="s">
        <v>122</v>
      </c>
      <c r="K203" s="6" t="n">
        <v>23.11</v>
      </c>
      <c r="L203" s="5" t="n">
        <v>1</v>
      </c>
      <c r="M203" s="7" t="n">
        <v>0</v>
      </c>
      <c r="N203" s="6" t="n">
        <v>10.33</v>
      </c>
    </row>
    <row r="204" customFormat="false" ht="15" hidden="false" customHeight="false" outlineLevel="0" collapsed="false">
      <c r="A204" s="5" t="s">
        <v>344</v>
      </c>
      <c r="B204" s="5" t="s">
        <v>41</v>
      </c>
      <c r="C204" s="5" t="s">
        <v>69</v>
      </c>
      <c r="D204" s="5" t="s">
        <v>43</v>
      </c>
      <c r="E204" s="5" t="s">
        <v>91</v>
      </c>
      <c r="F204" s="5" t="s">
        <v>92</v>
      </c>
      <c r="G204" s="5" t="n">
        <v>33311</v>
      </c>
      <c r="H204" s="5" t="s">
        <v>53</v>
      </c>
      <c r="I204" s="5" t="s">
        <v>54</v>
      </c>
      <c r="J204" s="5" t="s">
        <v>55</v>
      </c>
      <c r="K204" s="6" t="n">
        <v>103.02</v>
      </c>
      <c r="L204" s="5" t="n">
        <v>1</v>
      </c>
      <c r="M204" s="7" t="n">
        <v>0.3</v>
      </c>
      <c r="N204" s="6" t="n">
        <v>19.66</v>
      </c>
    </row>
    <row r="205" customFormat="false" ht="15" hidden="false" customHeight="false" outlineLevel="0" collapsed="false">
      <c r="A205" s="5" t="s">
        <v>388</v>
      </c>
      <c r="B205" s="5" t="s">
        <v>83</v>
      </c>
      <c r="C205" s="5" t="s">
        <v>69</v>
      </c>
      <c r="D205" s="5" t="s">
        <v>43</v>
      </c>
      <c r="E205" s="5" t="s">
        <v>62</v>
      </c>
      <c r="F205" s="5" t="s">
        <v>63</v>
      </c>
      <c r="G205" s="5" t="n">
        <v>77095</v>
      </c>
      <c r="H205" s="5" t="s">
        <v>64</v>
      </c>
      <c r="I205" s="5" t="s">
        <v>54</v>
      </c>
      <c r="J205" s="5" t="s">
        <v>55</v>
      </c>
      <c r="K205" s="6" t="n">
        <v>723.05</v>
      </c>
      <c r="L205" s="5" t="n">
        <v>4</v>
      </c>
      <c r="M205" s="7" t="n">
        <v>0.1</v>
      </c>
      <c r="N205" s="6" t="n">
        <v>278.8</v>
      </c>
    </row>
    <row r="206" customFormat="false" ht="15" hidden="false" customHeight="false" outlineLevel="0" collapsed="false">
      <c r="A206" s="5" t="s">
        <v>348</v>
      </c>
      <c r="B206" s="5" t="s">
        <v>41</v>
      </c>
      <c r="C206" s="5" t="s">
        <v>42</v>
      </c>
      <c r="D206" s="5" t="s">
        <v>43</v>
      </c>
      <c r="E206" s="5" t="s">
        <v>58</v>
      </c>
      <c r="F206" s="5" t="s">
        <v>59</v>
      </c>
      <c r="G206" s="5" t="n">
        <v>30318</v>
      </c>
      <c r="H206" s="5" t="s">
        <v>53</v>
      </c>
      <c r="I206" s="5" t="s">
        <v>47</v>
      </c>
      <c r="J206" s="5" t="s">
        <v>48</v>
      </c>
      <c r="K206" s="6" t="n">
        <v>172.28</v>
      </c>
      <c r="L206" s="5" t="n">
        <v>4</v>
      </c>
      <c r="M206" s="7" t="n">
        <v>0.15</v>
      </c>
      <c r="N206" s="6" t="n">
        <v>1.28</v>
      </c>
    </row>
    <row r="207" customFormat="false" ht="15" hidden="false" customHeight="false" outlineLevel="0" collapsed="false">
      <c r="A207" s="5" t="s">
        <v>173</v>
      </c>
      <c r="B207" s="5" t="s">
        <v>57</v>
      </c>
      <c r="C207" s="5" t="s">
        <v>42</v>
      </c>
      <c r="D207" s="5" t="s">
        <v>43</v>
      </c>
      <c r="E207" s="5" t="s">
        <v>58</v>
      </c>
      <c r="F207" s="5" t="s">
        <v>59</v>
      </c>
      <c r="G207" s="5" t="n">
        <v>30318</v>
      </c>
      <c r="H207" s="5" t="s">
        <v>53</v>
      </c>
      <c r="I207" s="5" t="s">
        <v>47</v>
      </c>
      <c r="J207" s="5" t="s">
        <v>86</v>
      </c>
      <c r="K207" s="6" t="n">
        <v>110.78</v>
      </c>
      <c r="L207" s="5" t="n">
        <v>1</v>
      </c>
      <c r="M207" s="7" t="n">
        <v>0.1</v>
      </c>
      <c r="N207" s="6" t="n">
        <v>-4.94</v>
      </c>
    </row>
    <row r="208" customFormat="false" ht="15" hidden="false" customHeight="false" outlineLevel="0" collapsed="false">
      <c r="A208" s="5" t="s">
        <v>130</v>
      </c>
      <c r="B208" s="5" t="s">
        <v>41</v>
      </c>
      <c r="C208" s="5" t="s">
        <v>50</v>
      </c>
      <c r="D208" s="5" t="s">
        <v>43</v>
      </c>
      <c r="E208" s="5" t="s">
        <v>112</v>
      </c>
      <c r="F208" s="5" t="s">
        <v>63</v>
      </c>
      <c r="G208" s="5" t="n">
        <v>75217</v>
      </c>
      <c r="H208" s="5" t="s">
        <v>64</v>
      </c>
      <c r="I208" s="5" t="s">
        <v>47</v>
      </c>
      <c r="J208" s="5" t="s">
        <v>86</v>
      </c>
      <c r="K208" s="6" t="n">
        <v>25.91</v>
      </c>
      <c r="L208" s="5" t="n">
        <v>6</v>
      </c>
      <c r="M208" s="7" t="n">
        <v>0.7</v>
      </c>
      <c r="N208" s="6" t="n">
        <v>-2.62</v>
      </c>
    </row>
    <row r="209" customFormat="false" ht="15" hidden="false" customHeight="false" outlineLevel="0" collapsed="false">
      <c r="A209" s="5" t="s">
        <v>248</v>
      </c>
      <c r="B209" s="5" t="s">
        <v>41</v>
      </c>
      <c r="C209" s="5" t="s">
        <v>69</v>
      </c>
      <c r="D209" s="5" t="s">
        <v>43</v>
      </c>
      <c r="E209" s="5" t="s">
        <v>114</v>
      </c>
      <c r="F209" s="5" t="s">
        <v>115</v>
      </c>
      <c r="G209" s="5" t="n">
        <v>90036</v>
      </c>
      <c r="H209" s="5" t="s">
        <v>72</v>
      </c>
      <c r="I209" s="5" t="s">
        <v>54</v>
      </c>
      <c r="J209" s="5" t="s">
        <v>93</v>
      </c>
      <c r="K209" s="6" t="n">
        <v>165.2</v>
      </c>
      <c r="L209" s="5" t="n">
        <v>1</v>
      </c>
      <c r="M209" s="7" t="n">
        <v>0</v>
      </c>
      <c r="N209" s="6" t="n">
        <v>71.35</v>
      </c>
    </row>
    <row r="210" customFormat="false" ht="15" hidden="false" customHeight="false" outlineLevel="0" collapsed="false">
      <c r="A210" s="5" t="s">
        <v>56</v>
      </c>
      <c r="B210" s="5" t="s">
        <v>57</v>
      </c>
      <c r="C210" s="5" t="s">
        <v>50</v>
      </c>
      <c r="D210" s="5" t="s">
        <v>43</v>
      </c>
      <c r="E210" s="5" t="s">
        <v>58</v>
      </c>
      <c r="F210" s="5" t="s">
        <v>59</v>
      </c>
      <c r="G210" s="5" t="n">
        <v>30318</v>
      </c>
      <c r="H210" s="5" t="s">
        <v>53</v>
      </c>
      <c r="I210" s="5" t="s">
        <v>47</v>
      </c>
      <c r="J210" s="5" t="s">
        <v>60</v>
      </c>
      <c r="K210" s="6" t="n">
        <v>29.74</v>
      </c>
      <c r="L210" s="5" t="n">
        <v>9</v>
      </c>
      <c r="M210" s="7" t="n">
        <v>0.15</v>
      </c>
      <c r="N210" s="6" t="n">
        <v>1.21</v>
      </c>
    </row>
    <row r="211" customFormat="false" ht="15" hidden="false" customHeight="false" outlineLevel="0" collapsed="false">
      <c r="A211" s="5" t="s">
        <v>193</v>
      </c>
      <c r="B211" s="5" t="s">
        <v>83</v>
      </c>
      <c r="C211" s="5" t="s">
        <v>69</v>
      </c>
      <c r="D211" s="5" t="s">
        <v>43</v>
      </c>
      <c r="E211" s="5" t="s">
        <v>112</v>
      </c>
      <c r="F211" s="5" t="s">
        <v>63</v>
      </c>
      <c r="G211" s="5" t="n">
        <v>75217</v>
      </c>
      <c r="H211" s="5" t="s">
        <v>64</v>
      </c>
      <c r="I211" s="5" t="s">
        <v>65</v>
      </c>
      <c r="J211" s="5" t="s">
        <v>133</v>
      </c>
      <c r="K211" s="6" t="n">
        <v>42.07</v>
      </c>
      <c r="L211" s="5" t="n">
        <v>5</v>
      </c>
      <c r="M211" s="7" t="n">
        <v>0.2</v>
      </c>
      <c r="N211" s="6" t="n">
        <v>15.52</v>
      </c>
    </row>
    <row r="212" customFormat="false" ht="15" hidden="false" customHeight="false" outlineLevel="0" collapsed="false">
      <c r="A212" s="5" t="s">
        <v>212</v>
      </c>
      <c r="B212" s="5" t="s">
        <v>68</v>
      </c>
      <c r="C212" s="5" t="s">
        <v>50</v>
      </c>
      <c r="D212" s="5" t="s">
        <v>43</v>
      </c>
      <c r="E212" s="5" t="s">
        <v>100</v>
      </c>
      <c r="F212" s="5" t="s">
        <v>101</v>
      </c>
      <c r="G212" s="5" t="n">
        <v>19140</v>
      </c>
      <c r="H212" s="5" t="s">
        <v>46</v>
      </c>
      <c r="I212" s="5" t="s">
        <v>47</v>
      </c>
      <c r="J212" s="5" t="s">
        <v>60</v>
      </c>
      <c r="K212" s="6" t="n">
        <v>43.49</v>
      </c>
      <c r="L212" s="5" t="n">
        <v>7</v>
      </c>
      <c r="M212" s="7" t="n">
        <v>0.1</v>
      </c>
      <c r="N212" s="6" t="n">
        <v>3.9</v>
      </c>
    </row>
    <row r="213" customFormat="false" ht="15" hidden="false" customHeight="false" outlineLevel="0" collapsed="false">
      <c r="A213" s="5" t="s">
        <v>314</v>
      </c>
      <c r="B213" s="5" t="s">
        <v>83</v>
      </c>
      <c r="C213" s="5" t="s">
        <v>50</v>
      </c>
      <c r="D213" s="5" t="s">
        <v>43</v>
      </c>
      <c r="E213" s="5" t="s">
        <v>62</v>
      </c>
      <c r="F213" s="5" t="s">
        <v>63</v>
      </c>
      <c r="G213" s="5" t="n">
        <v>77095</v>
      </c>
      <c r="H213" s="5" t="s">
        <v>64</v>
      </c>
      <c r="I213" s="5" t="s">
        <v>54</v>
      </c>
      <c r="J213" s="5" t="s">
        <v>55</v>
      </c>
      <c r="K213" s="6" t="n">
        <v>35.43</v>
      </c>
      <c r="L213" s="5" t="n">
        <v>4</v>
      </c>
      <c r="M213" s="7" t="n">
        <v>0</v>
      </c>
      <c r="N213" s="6" t="n">
        <v>14.1</v>
      </c>
    </row>
    <row r="214" customFormat="false" ht="15" hidden="false" customHeight="false" outlineLevel="0" collapsed="false">
      <c r="A214" s="5" t="s">
        <v>61</v>
      </c>
      <c r="B214" s="5" t="s">
        <v>41</v>
      </c>
      <c r="C214" s="5" t="s">
        <v>42</v>
      </c>
      <c r="D214" s="5" t="s">
        <v>43</v>
      </c>
      <c r="E214" s="5" t="s">
        <v>62</v>
      </c>
      <c r="F214" s="5" t="s">
        <v>63</v>
      </c>
      <c r="G214" s="5" t="n">
        <v>77095</v>
      </c>
      <c r="H214" s="5" t="s">
        <v>64</v>
      </c>
      <c r="I214" s="5" t="s">
        <v>65</v>
      </c>
      <c r="J214" s="5" t="s">
        <v>66</v>
      </c>
      <c r="K214" s="6" t="n">
        <v>137.48</v>
      </c>
      <c r="L214" s="5" t="n">
        <v>1</v>
      </c>
      <c r="M214" s="7" t="n">
        <v>0</v>
      </c>
      <c r="N214" s="6" t="n">
        <v>43.59</v>
      </c>
    </row>
    <row r="215" customFormat="false" ht="15" hidden="false" customHeight="false" outlineLevel="0" collapsed="false">
      <c r="A215" s="5" t="s">
        <v>275</v>
      </c>
      <c r="B215" s="5" t="s">
        <v>83</v>
      </c>
      <c r="C215" s="5" t="s">
        <v>69</v>
      </c>
      <c r="D215" s="5" t="s">
        <v>43</v>
      </c>
      <c r="E215" s="5" t="s">
        <v>118</v>
      </c>
      <c r="F215" s="5" t="s">
        <v>119</v>
      </c>
      <c r="G215" s="5" t="n">
        <v>98103</v>
      </c>
      <c r="H215" s="5" t="s">
        <v>72</v>
      </c>
      <c r="I215" s="5" t="s">
        <v>47</v>
      </c>
      <c r="J215" s="5" t="s">
        <v>84</v>
      </c>
      <c r="K215" s="6" t="n">
        <v>39.19</v>
      </c>
      <c r="L215" s="5" t="n">
        <v>2</v>
      </c>
      <c r="M215" s="7" t="n">
        <v>0.1</v>
      </c>
      <c r="N215" s="6" t="n">
        <v>-1.35</v>
      </c>
    </row>
    <row r="216" customFormat="false" ht="15" hidden="false" customHeight="false" outlineLevel="0" collapsed="false">
      <c r="A216" s="5" t="s">
        <v>240</v>
      </c>
      <c r="B216" s="5" t="s">
        <v>57</v>
      </c>
      <c r="C216" s="5" t="s">
        <v>42</v>
      </c>
      <c r="D216" s="5" t="s">
        <v>43</v>
      </c>
      <c r="E216" s="5" t="s">
        <v>70</v>
      </c>
      <c r="F216" s="5" t="s">
        <v>71</v>
      </c>
      <c r="G216" s="5" t="n">
        <v>80219</v>
      </c>
      <c r="H216" s="5" t="s">
        <v>72</v>
      </c>
      <c r="I216" s="5" t="s">
        <v>65</v>
      </c>
      <c r="J216" s="5" t="s">
        <v>88</v>
      </c>
      <c r="K216" s="6" t="n">
        <v>75.83</v>
      </c>
      <c r="L216" s="5" t="n">
        <v>1</v>
      </c>
      <c r="M216" s="7" t="n">
        <v>0</v>
      </c>
      <c r="N216" s="6" t="n">
        <v>19.15</v>
      </c>
    </row>
    <row r="217" customFormat="false" ht="15" hidden="false" customHeight="false" outlineLevel="0" collapsed="false">
      <c r="A217" s="5" t="s">
        <v>82</v>
      </c>
      <c r="B217" s="5" t="s">
        <v>83</v>
      </c>
      <c r="C217" s="5" t="s">
        <v>69</v>
      </c>
      <c r="D217" s="5" t="s">
        <v>43</v>
      </c>
      <c r="E217" s="5" t="s">
        <v>70</v>
      </c>
      <c r="F217" s="5" t="s">
        <v>71</v>
      </c>
      <c r="G217" s="5" t="n">
        <v>80219</v>
      </c>
      <c r="H217" s="5" t="s">
        <v>72</v>
      </c>
      <c r="I217" s="5" t="s">
        <v>47</v>
      </c>
      <c r="J217" s="5" t="s">
        <v>84</v>
      </c>
      <c r="K217" s="6" t="n">
        <v>34.19</v>
      </c>
      <c r="L217" s="5" t="n">
        <v>5</v>
      </c>
      <c r="M217" s="7" t="n">
        <v>0.2</v>
      </c>
      <c r="N217" s="6" t="n">
        <v>-4.59</v>
      </c>
    </row>
    <row r="218" customFormat="false" ht="15" hidden="false" customHeight="false" outlineLevel="0" collapsed="false">
      <c r="A218" s="5" t="s">
        <v>373</v>
      </c>
      <c r="B218" s="5" t="s">
        <v>68</v>
      </c>
      <c r="C218" s="5" t="s">
        <v>42</v>
      </c>
      <c r="D218" s="5" t="s">
        <v>43</v>
      </c>
      <c r="E218" s="5" t="s">
        <v>176</v>
      </c>
      <c r="F218" s="5" t="s">
        <v>177</v>
      </c>
      <c r="G218" s="5" t="n">
        <v>55407</v>
      </c>
      <c r="H218" s="5" t="s">
        <v>64</v>
      </c>
      <c r="I218" s="5" t="s">
        <v>54</v>
      </c>
      <c r="J218" s="5" t="s">
        <v>73</v>
      </c>
      <c r="K218" s="6" t="n">
        <v>91.38</v>
      </c>
      <c r="L218" s="5" t="n">
        <v>8</v>
      </c>
      <c r="M218" s="7" t="n">
        <v>0.7</v>
      </c>
      <c r="N218" s="6" t="n">
        <v>-7.67</v>
      </c>
    </row>
    <row r="219" customFormat="false" ht="15" hidden="false" customHeight="false" outlineLevel="0" collapsed="false">
      <c r="A219" s="5" t="s">
        <v>180</v>
      </c>
      <c r="B219" s="5" t="s">
        <v>83</v>
      </c>
      <c r="C219" s="5" t="s">
        <v>42</v>
      </c>
      <c r="D219" s="5" t="s">
        <v>43</v>
      </c>
      <c r="E219" s="5" t="s">
        <v>112</v>
      </c>
      <c r="F219" s="5" t="s">
        <v>63</v>
      </c>
      <c r="G219" s="5" t="n">
        <v>75217</v>
      </c>
      <c r="H219" s="5" t="s">
        <v>64</v>
      </c>
      <c r="I219" s="5" t="s">
        <v>54</v>
      </c>
      <c r="J219" s="5" t="s">
        <v>93</v>
      </c>
      <c r="K219" s="6" t="n">
        <v>260.81</v>
      </c>
      <c r="L219" s="5" t="n">
        <v>6</v>
      </c>
      <c r="M219" s="7" t="n">
        <v>0.2</v>
      </c>
      <c r="N219" s="6" t="n">
        <v>102.52</v>
      </c>
    </row>
    <row r="220" customFormat="false" ht="15" hidden="false" customHeight="false" outlineLevel="0" collapsed="false">
      <c r="A220" s="5" t="s">
        <v>141</v>
      </c>
      <c r="B220" s="5" t="s">
        <v>41</v>
      </c>
      <c r="C220" s="5" t="s">
        <v>42</v>
      </c>
      <c r="D220" s="5" t="s">
        <v>43</v>
      </c>
      <c r="E220" s="5" t="s">
        <v>62</v>
      </c>
      <c r="F220" s="5" t="s">
        <v>63</v>
      </c>
      <c r="G220" s="5" t="n">
        <v>77095</v>
      </c>
      <c r="H220" s="5" t="s">
        <v>64</v>
      </c>
      <c r="I220" s="5" t="s">
        <v>47</v>
      </c>
      <c r="J220" s="5" t="s">
        <v>84</v>
      </c>
      <c r="K220" s="6" t="n">
        <v>411.26</v>
      </c>
      <c r="L220" s="5" t="n">
        <v>1</v>
      </c>
      <c r="M220" s="7" t="n">
        <v>0.1</v>
      </c>
      <c r="N220" s="6" t="n">
        <v>-34.11</v>
      </c>
    </row>
    <row r="221" customFormat="false" ht="15" hidden="false" customHeight="false" outlineLevel="0" collapsed="false">
      <c r="A221" s="5" t="s">
        <v>116</v>
      </c>
      <c r="B221" s="5" t="s">
        <v>57</v>
      </c>
      <c r="C221" s="5" t="s">
        <v>50</v>
      </c>
      <c r="D221" s="5" t="s">
        <v>43</v>
      </c>
      <c r="E221" s="5" t="s">
        <v>107</v>
      </c>
      <c r="F221" s="5" t="s">
        <v>108</v>
      </c>
      <c r="G221" s="5" t="n">
        <v>7102</v>
      </c>
      <c r="H221" s="5" t="s">
        <v>46</v>
      </c>
      <c r="I221" s="5" t="s">
        <v>47</v>
      </c>
      <c r="J221" s="5" t="s">
        <v>86</v>
      </c>
      <c r="K221" s="6" t="n">
        <v>30.11</v>
      </c>
      <c r="L221" s="5" t="n">
        <v>9</v>
      </c>
      <c r="M221" s="7" t="n">
        <v>0.2</v>
      </c>
      <c r="N221" s="6" t="n">
        <v>-2.32</v>
      </c>
    </row>
    <row r="222" customFormat="false" ht="15" hidden="false" customHeight="false" outlineLevel="0" collapsed="false">
      <c r="A222" s="5" t="s">
        <v>103</v>
      </c>
      <c r="B222" s="5" t="s">
        <v>83</v>
      </c>
      <c r="C222" s="5" t="s">
        <v>50</v>
      </c>
      <c r="D222" s="5" t="s">
        <v>43</v>
      </c>
      <c r="E222" s="5" t="s">
        <v>104</v>
      </c>
      <c r="F222" s="5" t="s">
        <v>105</v>
      </c>
      <c r="G222" s="5" t="n">
        <v>28205</v>
      </c>
      <c r="H222" s="5" t="s">
        <v>53</v>
      </c>
      <c r="I222" s="5" t="s">
        <v>47</v>
      </c>
      <c r="J222" s="5" t="s">
        <v>86</v>
      </c>
      <c r="K222" s="6" t="n">
        <v>31.19</v>
      </c>
      <c r="L222" s="5" t="n">
        <v>3</v>
      </c>
      <c r="M222" s="7" t="n">
        <v>0.3</v>
      </c>
      <c r="N222" s="6" t="n">
        <v>-6.46</v>
      </c>
    </row>
    <row r="223" customFormat="false" ht="15" hidden="false" customHeight="false" outlineLevel="0" collapsed="false">
      <c r="A223" s="5" t="s">
        <v>239</v>
      </c>
      <c r="B223" s="5" t="s">
        <v>83</v>
      </c>
      <c r="C223" s="5" t="s">
        <v>69</v>
      </c>
      <c r="D223" s="5" t="s">
        <v>43</v>
      </c>
      <c r="E223" s="5" t="s">
        <v>118</v>
      </c>
      <c r="F223" s="5" t="s">
        <v>119</v>
      </c>
      <c r="G223" s="5" t="n">
        <v>98103</v>
      </c>
      <c r="H223" s="5" t="s">
        <v>72</v>
      </c>
      <c r="I223" s="5" t="s">
        <v>65</v>
      </c>
      <c r="J223" s="5" t="s">
        <v>133</v>
      </c>
      <c r="K223" s="6" t="n">
        <v>27.92</v>
      </c>
      <c r="L223" s="5" t="n">
        <v>5</v>
      </c>
      <c r="M223" s="7" t="n">
        <v>0.4</v>
      </c>
      <c r="N223" s="6" t="n">
        <v>4.06</v>
      </c>
    </row>
    <row r="224" customFormat="false" ht="15" hidden="false" customHeight="false" outlineLevel="0" collapsed="false">
      <c r="A224" s="5" t="s">
        <v>402</v>
      </c>
      <c r="B224" s="5" t="s">
        <v>41</v>
      </c>
      <c r="C224" s="5" t="s">
        <v>42</v>
      </c>
      <c r="D224" s="5" t="s">
        <v>43</v>
      </c>
      <c r="E224" s="5" t="s">
        <v>75</v>
      </c>
      <c r="F224" s="5" t="s">
        <v>76</v>
      </c>
      <c r="G224" s="5" t="n">
        <v>60610</v>
      </c>
      <c r="H224" s="5" t="s">
        <v>64</v>
      </c>
      <c r="I224" s="5" t="s">
        <v>65</v>
      </c>
      <c r="J224" s="5" t="s">
        <v>66</v>
      </c>
      <c r="K224" s="6" t="n">
        <v>66.97</v>
      </c>
      <c r="L224" s="5" t="n">
        <v>9</v>
      </c>
      <c r="M224" s="7" t="n">
        <v>0.2</v>
      </c>
      <c r="N224" s="6" t="n">
        <v>16.42</v>
      </c>
    </row>
    <row r="225" customFormat="false" ht="15" hidden="false" customHeight="false" outlineLevel="0" collapsed="false">
      <c r="A225" s="5" t="s">
        <v>369</v>
      </c>
      <c r="B225" s="5" t="s">
        <v>83</v>
      </c>
      <c r="C225" s="5" t="s">
        <v>50</v>
      </c>
      <c r="D225" s="5" t="s">
        <v>43</v>
      </c>
      <c r="E225" s="5" t="s">
        <v>95</v>
      </c>
      <c r="F225" s="5" t="s">
        <v>96</v>
      </c>
      <c r="G225" s="5" t="n">
        <v>97206</v>
      </c>
      <c r="H225" s="5" t="s">
        <v>72</v>
      </c>
      <c r="I225" s="5" t="s">
        <v>47</v>
      </c>
      <c r="J225" s="5" t="s">
        <v>60</v>
      </c>
      <c r="K225" s="6" t="n">
        <v>638.97</v>
      </c>
      <c r="L225" s="5" t="n">
        <v>9</v>
      </c>
      <c r="M225" s="7" t="n">
        <v>0.2</v>
      </c>
      <c r="N225" s="6" t="n">
        <v>43.75</v>
      </c>
    </row>
    <row r="226" customFormat="false" ht="15" hidden="false" customHeight="false" outlineLevel="0" collapsed="false">
      <c r="A226" s="5" t="s">
        <v>340</v>
      </c>
      <c r="B226" s="5" t="s">
        <v>57</v>
      </c>
      <c r="C226" s="5" t="s">
        <v>50</v>
      </c>
      <c r="D226" s="5" t="s">
        <v>43</v>
      </c>
      <c r="E226" s="5" t="s">
        <v>62</v>
      </c>
      <c r="F226" s="5" t="s">
        <v>63</v>
      </c>
      <c r="G226" s="5" t="n">
        <v>77095</v>
      </c>
      <c r="H226" s="5" t="s">
        <v>64</v>
      </c>
      <c r="I226" s="5" t="s">
        <v>47</v>
      </c>
      <c r="J226" s="5" t="s">
        <v>84</v>
      </c>
      <c r="K226" s="6" t="n">
        <v>195.75</v>
      </c>
      <c r="L226" s="5" t="n">
        <v>4</v>
      </c>
      <c r="M226" s="7" t="n">
        <v>0</v>
      </c>
      <c r="N226" s="6" t="n">
        <v>-8.72</v>
      </c>
    </row>
    <row r="227" customFormat="false" ht="15" hidden="false" customHeight="false" outlineLevel="0" collapsed="false">
      <c r="A227" s="5" t="s">
        <v>242</v>
      </c>
      <c r="B227" s="5" t="s">
        <v>57</v>
      </c>
      <c r="C227" s="5" t="s">
        <v>50</v>
      </c>
      <c r="D227" s="5" t="s">
        <v>43</v>
      </c>
      <c r="E227" s="5" t="s">
        <v>118</v>
      </c>
      <c r="F227" s="5" t="s">
        <v>119</v>
      </c>
      <c r="G227" s="5" t="n">
        <v>98103</v>
      </c>
      <c r="H227" s="5" t="s">
        <v>72</v>
      </c>
      <c r="I227" s="5" t="s">
        <v>54</v>
      </c>
      <c r="J227" s="5" t="s">
        <v>77</v>
      </c>
      <c r="K227" s="6" t="n">
        <v>237.17</v>
      </c>
      <c r="L227" s="5" t="n">
        <v>6</v>
      </c>
      <c r="M227" s="7" t="n">
        <v>0</v>
      </c>
      <c r="N227" s="6" t="n">
        <v>108.37</v>
      </c>
    </row>
    <row r="228" customFormat="false" ht="15" hidden="false" customHeight="false" outlineLevel="0" collapsed="false">
      <c r="A228" s="5" t="s">
        <v>384</v>
      </c>
      <c r="B228" s="5" t="s">
        <v>83</v>
      </c>
      <c r="C228" s="5" t="s">
        <v>50</v>
      </c>
      <c r="D228" s="5" t="s">
        <v>43</v>
      </c>
      <c r="E228" s="5" t="s">
        <v>62</v>
      </c>
      <c r="F228" s="5" t="s">
        <v>63</v>
      </c>
      <c r="G228" s="5" t="n">
        <v>77095</v>
      </c>
      <c r="H228" s="5" t="s">
        <v>64</v>
      </c>
      <c r="I228" s="5" t="s">
        <v>54</v>
      </c>
      <c r="J228" s="5" t="s">
        <v>55</v>
      </c>
      <c r="K228" s="6" t="n">
        <v>88.44</v>
      </c>
      <c r="L228" s="5" t="n">
        <v>8</v>
      </c>
      <c r="M228" s="7" t="n">
        <v>0</v>
      </c>
      <c r="N228" s="6" t="n">
        <v>29.48</v>
      </c>
    </row>
    <row r="229" customFormat="false" ht="15" hidden="false" customHeight="false" outlineLevel="0" collapsed="false">
      <c r="A229" s="5" t="s">
        <v>288</v>
      </c>
      <c r="B229" s="5" t="s">
        <v>57</v>
      </c>
      <c r="C229" s="5" t="s">
        <v>50</v>
      </c>
      <c r="D229" s="5" t="s">
        <v>43</v>
      </c>
      <c r="E229" s="5" t="s">
        <v>58</v>
      </c>
      <c r="F229" s="5" t="s">
        <v>59</v>
      </c>
      <c r="G229" s="5" t="n">
        <v>30318</v>
      </c>
      <c r="H229" s="5" t="s">
        <v>53</v>
      </c>
      <c r="I229" s="5" t="s">
        <v>65</v>
      </c>
      <c r="J229" s="5" t="s">
        <v>66</v>
      </c>
      <c r="K229" s="6" t="n">
        <v>95.88</v>
      </c>
      <c r="L229" s="5" t="n">
        <v>2</v>
      </c>
      <c r="M229" s="7" t="n">
        <v>0.5</v>
      </c>
      <c r="N229" s="6" t="n">
        <v>-0.53</v>
      </c>
    </row>
    <row r="230" customFormat="false" ht="15" hidden="false" customHeight="false" outlineLevel="0" collapsed="false">
      <c r="A230" s="5" t="s">
        <v>199</v>
      </c>
      <c r="B230" s="5" t="s">
        <v>57</v>
      </c>
      <c r="C230" s="5" t="s">
        <v>69</v>
      </c>
      <c r="D230" s="5" t="s">
        <v>43</v>
      </c>
      <c r="E230" s="5" t="s">
        <v>62</v>
      </c>
      <c r="F230" s="5" t="s">
        <v>63</v>
      </c>
      <c r="G230" s="5" t="n">
        <v>77095</v>
      </c>
      <c r="H230" s="5" t="s">
        <v>64</v>
      </c>
      <c r="I230" s="5" t="s">
        <v>54</v>
      </c>
      <c r="J230" s="5" t="s">
        <v>93</v>
      </c>
      <c r="K230" s="6" t="n">
        <v>164.95</v>
      </c>
      <c r="L230" s="5" t="n">
        <v>6</v>
      </c>
      <c r="M230" s="7" t="n">
        <v>0.3</v>
      </c>
      <c r="N230" s="6" t="n">
        <v>53.75</v>
      </c>
    </row>
    <row r="231" customFormat="false" ht="15" hidden="false" customHeight="false" outlineLevel="0" collapsed="false">
      <c r="A231" s="5" t="s">
        <v>168</v>
      </c>
      <c r="B231" s="5" t="s">
        <v>57</v>
      </c>
      <c r="C231" s="5" t="s">
        <v>50</v>
      </c>
      <c r="D231" s="5" t="s">
        <v>43</v>
      </c>
      <c r="E231" s="5" t="s">
        <v>100</v>
      </c>
      <c r="F231" s="5" t="s">
        <v>101</v>
      </c>
      <c r="G231" s="5" t="n">
        <v>19140</v>
      </c>
      <c r="H231" s="5" t="s">
        <v>46</v>
      </c>
      <c r="I231" s="5" t="s">
        <v>54</v>
      </c>
      <c r="J231" s="5" t="s">
        <v>55</v>
      </c>
      <c r="K231" s="6" t="n">
        <v>46.72</v>
      </c>
      <c r="L231" s="5" t="n">
        <v>6</v>
      </c>
      <c r="M231" s="7" t="n">
        <v>0.2</v>
      </c>
      <c r="N231" s="6" t="n">
        <v>13.99</v>
      </c>
    </row>
    <row r="232" customFormat="false" ht="15" hidden="false" customHeight="false" outlineLevel="0" collapsed="false">
      <c r="A232" s="5" t="s">
        <v>181</v>
      </c>
      <c r="B232" s="5" t="s">
        <v>41</v>
      </c>
      <c r="C232" s="5" t="s">
        <v>42</v>
      </c>
      <c r="D232" s="5" t="s">
        <v>43</v>
      </c>
      <c r="E232" s="5" t="s">
        <v>95</v>
      </c>
      <c r="F232" s="5" t="s">
        <v>96</v>
      </c>
      <c r="G232" s="5" t="n">
        <v>97206</v>
      </c>
      <c r="H232" s="5" t="s">
        <v>72</v>
      </c>
      <c r="I232" s="5" t="s">
        <v>54</v>
      </c>
      <c r="J232" s="5" t="s">
        <v>55</v>
      </c>
      <c r="K232" s="6" t="n">
        <v>297.59</v>
      </c>
      <c r="L232" s="5" t="n">
        <v>1</v>
      </c>
      <c r="M232" s="7" t="n">
        <v>0</v>
      </c>
      <c r="N232" s="6" t="n">
        <v>108.06</v>
      </c>
    </row>
    <row r="233" customFormat="false" ht="15" hidden="false" customHeight="false" outlineLevel="0" collapsed="false">
      <c r="A233" s="5" t="s">
        <v>171</v>
      </c>
      <c r="B233" s="5" t="s">
        <v>41</v>
      </c>
      <c r="C233" s="5" t="s">
        <v>69</v>
      </c>
      <c r="D233" s="5" t="s">
        <v>43</v>
      </c>
      <c r="E233" s="5" t="s">
        <v>75</v>
      </c>
      <c r="F233" s="5" t="s">
        <v>76</v>
      </c>
      <c r="G233" s="5" t="n">
        <v>60610</v>
      </c>
      <c r="H233" s="5" t="s">
        <v>64</v>
      </c>
      <c r="I233" s="5" t="s">
        <v>65</v>
      </c>
      <c r="J233" s="5" t="s">
        <v>120</v>
      </c>
      <c r="K233" s="6" t="n">
        <v>41.31</v>
      </c>
      <c r="L233" s="5" t="n">
        <v>2</v>
      </c>
      <c r="M233" s="7" t="n">
        <v>0</v>
      </c>
      <c r="N233" s="6" t="n">
        <v>10.24</v>
      </c>
    </row>
    <row r="234" customFormat="false" ht="15" hidden="false" customHeight="false" outlineLevel="0" collapsed="false">
      <c r="A234" s="5" t="s">
        <v>396</v>
      </c>
      <c r="B234" s="5" t="s">
        <v>83</v>
      </c>
      <c r="C234" s="5" t="s">
        <v>50</v>
      </c>
      <c r="D234" s="5" t="s">
        <v>43</v>
      </c>
      <c r="E234" s="5" t="s">
        <v>51</v>
      </c>
      <c r="F234" s="5" t="s">
        <v>52</v>
      </c>
      <c r="G234" s="5" t="n">
        <v>37211</v>
      </c>
      <c r="H234" s="5" t="s">
        <v>53</v>
      </c>
      <c r="I234" s="5" t="s">
        <v>54</v>
      </c>
      <c r="J234" s="5" t="s">
        <v>73</v>
      </c>
      <c r="K234" s="6" t="n">
        <v>30.2</v>
      </c>
      <c r="L234" s="5" t="n">
        <v>9</v>
      </c>
      <c r="M234" s="7" t="n">
        <v>0</v>
      </c>
      <c r="N234" s="6" t="n">
        <v>9.59</v>
      </c>
    </row>
    <row r="235" customFormat="false" ht="15" hidden="false" customHeight="false" outlineLevel="0" collapsed="false">
      <c r="A235" s="5" t="s">
        <v>113</v>
      </c>
      <c r="B235" s="5" t="s">
        <v>83</v>
      </c>
      <c r="C235" s="5" t="s">
        <v>50</v>
      </c>
      <c r="D235" s="5" t="s">
        <v>43</v>
      </c>
      <c r="E235" s="5" t="s">
        <v>114</v>
      </c>
      <c r="F235" s="5" t="s">
        <v>115</v>
      </c>
      <c r="G235" s="5" t="n">
        <v>90036</v>
      </c>
      <c r="H235" s="5" t="s">
        <v>72</v>
      </c>
      <c r="I235" s="5" t="s">
        <v>65</v>
      </c>
      <c r="J235" s="5" t="s">
        <v>81</v>
      </c>
      <c r="K235" s="6" t="n">
        <v>68.88</v>
      </c>
      <c r="L235" s="5" t="n">
        <v>2</v>
      </c>
      <c r="M235" s="7" t="n">
        <v>0.2</v>
      </c>
      <c r="N235" s="6" t="n">
        <v>17.14</v>
      </c>
    </row>
    <row r="236" customFormat="false" ht="15" hidden="false" customHeight="false" outlineLevel="0" collapsed="false">
      <c r="A236" s="5" t="s">
        <v>158</v>
      </c>
      <c r="B236" s="5" t="s">
        <v>41</v>
      </c>
      <c r="C236" s="5" t="s">
        <v>50</v>
      </c>
      <c r="D236" s="5" t="s">
        <v>43</v>
      </c>
      <c r="E236" s="5" t="s">
        <v>112</v>
      </c>
      <c r="F236" s="5" t="s">
        <v>63</v>
      </c>
      <c r="G236" s="5" t="n">
        <v>75217</v>
      </c>
      <c r="H236" s="5" t="s">
        <v>64</v>
      </c>
      <c r="I236" s="5" t="s">
        <v>65</v>
      </c>
      <c r="J236" s="5" t="s">
        <v>109</v>
      </c>
      <c r="K236" s="6" t="n">
        <v>126.68</v>
      </c>
      <c r="L236" s="5" t="n">
        <v>6</v>
      </c>
      <c r="M236" s="7" t="n">
        <v>0</v>
      </c>
      <c r="N236" s="6" t="n">
        <v>33.24</v>
      </c>
    </row>
    <row r="237" customFormat="false" ht="15" hidden="false" customHeight="false" outlineLevel="0" collapsed="false">
      <c r="A237" s="5" t="s">
        <v>325</v>
      </c>
      <c r="B237" s="5" t="s">
        <v>57</v>
      </c>
      <c r="C237" s="5" t="s">
        <v>69</v>
      </c>
      <c r="D237" s="5" t="s">
        <v>43</v>
      </c>
      <c r="E237" s="5" t="s">
        <v>100</v>
      </c>
      <c r="F237" s="5" t="s">
        <v>101</v>
      </c>
      <c r="G237" s="5" t="n">
        <v>19140</v>
      </c>
      <c r="H237" s="5" t="s">
        <v>46</v>
      </c>
      <c r="I237" s="5" t="s">
        <v>47</v>
      </c>
      <c r="J237" s="5" t="s">
        <v>48</v>
      </c>
      <c r="K237" s="6" t="n">
        <v>436.83</v>
      </c>
      <c r="L237" s="5" t="n">
        <v>6</v>
      </c>
      <c r="M237" s="7" t="n">
        <v>0.2</v>
      </c>
      <c r="N237" s="6" t="n">
        <v>-6.09</v>
      </c>
    </row>
    <row r="238" customFormat="false" ht="15" hidden="false" customHeight="false" outlineLevel="0" collapsed="false">
      <c r="A238" s="5" t="s">
        <v>247</v>
      </c>
      <c r="B238" s="5" t="s">
        <v>57</v>
      </c>
      <c r="C238" s="5" t="s">
        <v>42</v>
      </c>
      <c r="D238" s="5" t="s">
        <v>43</v>
      </c>
      <c r="E238" s="5" t="s">
        <v>100</v>
      </c>
      <c r="F238" s="5" t="s">
        <v>101</v>
      </c>
      <c r="G238" s="5" t="n">
        <v>19140</v>
      </c>
      <c r="H238" s="5" t="s">
        <v>46</v>
      </c>
      <c r="I238" s="5" t="s">
        <v>65</v>
      </c>
      <c r="J238" s="5" t="s">
        <v>124</v>
      </c>
      <c r="K238" s="6" t="n">
        <v>129.47</v>
      </c>
      <c r="L238" s="5" t="n">
        <v>4</v>
      </c>
      <c r="M238" s="7" t="n">
        <v>0</v>
      </c>
      <c r="N238" s="6" t="n">
        <v>35.05</v>
      </c>
    </row>
    <row r="239" customFormat="false" ht="15" hidden="false" customHeight="false" outlineLevel="0" collapsed="false">
      <c r="A239" s="5" t="s">
        <v>187</v>
      </c>
      <c r="B239" s="5" t="s">
        <v>41</v>
      </c>
      <c r="C239" s="5" t="s">
        <v>69</v>
      </c>
      <c r="D239" s="5" t="s">
        <v>43</v>
      </c>
      <c r="E239" s="5" t="s">
        <v>104</v>
      </c>
      <c r="F239" s="5" t="s">
        <v>105</v>
      </c>
      <c r="G239" s="5" t="n">
        <v>28205</v>
      </c>
      <c r="H239" s="5" t="s">
        <v>53</v>
      </c>
      <c r="I239" s="5" t="s">
        <v>65</v>
      </c>
      <c r="J239" s="5" t="s">
        <v>109</v>
      </c>
      <c r="K239" s="6" t="n">
        <v>86.06</v>
      </c>
      <c r="L239" s="5" t="n">
        <v>8</v>
      </c>
      <c r="M239" s="7" t="n">
        <v>0.2</v>
      </c>
      <c r="N239" s="6" t="n">
        <v>11.93</v>
      </c>
    </row>
    <row r="240" customFormat="false" ht="15" hidden="false" customHeight="false" outlineLevel="0" collapsed="false">
      <c r="A240" s="5" t="s">
        <v>277</v>
      </c>
      <c r="B240" s="5" t="s">
        <v>83</v>
      </c>
      <c r="C240" s="5" t="s">
        <v>42</v>
      </c>
      <c r="D240" s="5" t="s">
        <v>43</v>
      </c>
      <c r="E240" s="5" t="s">
        <v>79</v>
      </c>
      <c r="F240" s="5" t="s">
        <v>80</v>
      </c>
      <c r="G240" s="5" t="n">
        <v>2127</v>
      </c>
      <c r="H240" s="5" t="s">
        <v>46</v>
      </c>
      <c r="I240" s="5" t="s">
        <v>65</v>
      </c>
      <c r="J240" s="5" t="s">
        <v>133</v>
      </c>
      <c r="K240" s="6" t="n">
        <v>60.52</v>
      </c>
      <c r="L240" s="5" t="n">
        <v>1</v>
      </c>
      <c r="M240" s="7" t="n">
        <v>0.3</v>
      </c>
      <c r="N240" s="6" t="n">
        <v>14.76</v>
      </c>
    </row>
    <row r="241" customFormat="false" ht="15" hidden="false" customHeight="false" outlineLevel="0" collapsed="false">
      <c r="A241" s="5" t="s">
        <v>297</v>
      </c>
      <c r="B241" s="5" t="s">
        <v>57</v>
      </c>
      <c r="C241" s="5" t="s">
        <v>42</v>
      </c>
      <c r="D241" s="5" t="s">
        <v>43</v>
      </c>
      <c r="E241" s="5" t="s">
        <v>112</v>
      </c>
      <c r="F241" s="5" t="s">
        <v>63</v>
      </c>
      <c r="G241" s="5" t="n">
        <v>75217</v>
      </c>
      <c r="H241" s="5" t="s">
        <v>64</v>
      </c>
      <c r="I241" s="5" t="s">
        <v>47</v>
      </c>
      <c r="J241" s="5" t="s">
        <v>86</v>
      </c>
      <c r="K241" s="6" t="n">
        <v>64.8</v>
      </c>
      <c r="L241" s="5" t="n">
        <v>8</v>
      </c>
      <c r="M241" s="7" t="n">
        <v>0</v>
      </c>
      <c r="N241" s="6" t="n">
        <v>4.44</v>
      </c>
    </row>
    <row r="242" customFormat="false" ht="15" hidden="false" customHeight="false" outlineLevel="0" collapsed="false">
      <c r="A242" s="5" t="s">
        <v>259</v>
      </c>
      <c r="B242" s="5" t="s">
        <v>68</v>
      </c>
      <c r="C242" s="5" t="s">
        <v>69</v>
      </c>
      <c r="D242" s="5" t="s">
        <v>43</v>
      </c>
      <c r="E242" s="5" t="s">
        <v>75</v>
      </c>
      <c r="F242" s="5" t="s">
        <v>76</v>
      </c>
      <c r="G242" s="5" t="n">
        <v>60610</v>
      </c>
      <c r="H242" s="5" t="s">
        <v>64</v>
      </c>
      <c r="I242" s="5" t="s">
        <v>54</v>
      </c>
      <c r="J242" s="5" t="s">
        <v>73</v>
      </c>
      <c r="K242" s="6" t="n">
        <v>42.1</v>
      </c>
      <c r="L242" s="5" t="n">
        <v>1</v>
      </c>
      <c r="M242" s="7" t="n">
        <v>0.1</v>
      </c>
      <c r="N242" s="6" t="n">
        <v>11.81</v>
      </c>
    </row>
    <row r="243" customFormat="false" ht="15" hidden="false" customHeight="false" outlineLevel="0" collapsed="false">
      <c r="A243" s="5" t="s">
        <v>211</v>
      </c>
      <c r="B243" s="5" t="s">
        <v>83</v>
      </c>
      <c r="C243" s="5" t="s">
        <v>50</v>
      </c>
      <c r="D243" s="5" t="s">
        <v>43</v>
      </c>
      <c r="E243" s="5" t="s">
        <v>51</v>
      </c>
      <c r="F243" s="5" t="s">
        <v>52</v>
      </c>
      <c r="G243" s="5" t="n">
        <v>37211</v>
      </c>
      <c r="H243" s="5" t="s">
        <v>53</v>
      </c>
      <c r="I243" s="5" t="s">
        <v>54</v>
      </c>
      <c r="J243" s="5" t="s">
        <v>73</v>
      </c>
      <c r="K243" s="6" t="n">
        <v>135.28</v>
      </c>
      <c r="L243" s="5" t="n">
        <v>8</v>
      </c>
      <c r="M243" s="7" t="n">
        <v>0.1</v>
      </c>
      <c r="N243" s="6" t="n">
        <v>45.93</v>
      </c>
    </row>
    <row r="244" customFormat="false" ht="15" hidden="false" customHeight="false" outlineLevel="0" collapsed="false">
      <c r="A244" s="5" t="s">
        <v>272</v>
      </c>
      <c r="B244" s="5" t="s">
        <v>57</v>
      </c>
      <c r="C244" s="5" t="s">
        <v>42</v>
      </c>
      <c r="D244" s="5" t="s">
        <v>43</v>
      </c>
      <c r="E244" s="5" t="s">
        <v>114</v>
      </c>
      <c r="F244" s="5" t="s">
        <v>115</v>
      </c>
      <c r="G244" s="5" t="n">
        <v>90036</v>
      </c>
      <c r="H244" s="5" t="s">
        <v>72</v>
      </c>
      <c r="I244" s="5" t="s">
        <v>47</v>
      </c>
      <c r="J244" s="5" t="s">
        <v>84</v>
      </c>
      <c r="K244" s="6" t="n">
        <v>164.81</v>
      </c>
      <c r="L244" s="5" t="n">
        <v>6</v>
      </c>
      <c r="M244" s="7" t="n">
        <v>0</v>
      </c>
      <c r="N244" s="6" t="n">
        <v>43.48</v>
      </c>
    </row>
    <row r="245" customFormat="false" ht="15" hidden="false" customHeight="false" outlineLevel="0" collapsed="false">
      <c r="A245" s="5" t="s">
        <v>169</v>
      </c>
      <c r="B245" s="5" t="s">
        <v>68</v>
      </c>
      <c r="C245" s="5" t="s">
        <v>42</v>
      </c>
      <c r="D245" s="5" t="s">
        <v>43</v>
      </c>
      <c r="E245" s="5" t="s">
        <v>44</v>
      </c>
      <c r="F245" s="5" t="s">
        <v>45</v>
      </c>
      <c r="G245" s="5" t="n">
        <v>10011</v>
      </c>
      <c r="H245" s="5" t="s">
        <v>46</v>
      </c>
      <c r="I245" s="5" t="s">
        <v>47</v>
      </c>
      <c r="J245" s="5" t="s">
        <v>60</v>
      </c>
      <c r="K245" s="6" t="n">
        <v>108.54</v>
      </c>
      <c r="L245" s="5" t="n">
        <v>1</v>
      </c>
      <c r="M245" s="7" t="n">
        <v>0.1</v>
      </c>
      <c r="N245" s="6" t="n">
        <v>1.66</v>
      </c>
    </row>
    <row r="246" customFormat="false" ht="15" hidden="false" customHeight="false" outlineLevel="0" collapsed="false">
      <c r="A246" s="5" t="s">
        <v>163</v>
      </c>
      <c r="B246" s="5" t="s">
        <v>57</v>
      </c>
      <c r="C246" s="5" t="s">
        <v>50</v>
      </c>
      <c r="D246" s="5" t="s">
        <v>43</v>
      </c>
      <c r="E246" s="5" t="s">
        <v>107</v>
      </c>
      <c r="F246" s="5" t="s">
        <v>108</v>
      </c>
      <c r="G246" s="5" t="n">
        <v>7102</v>
      </c>
      <c r="H246" s="5" t="s">
        <v>46</v>
      </c>
      <c r="I246" s="5" t="s">
        <v>54</v>
      </c>
      <c r="J246" s="5" t="s">
        <v>73</v>
      </c>
      <c r="K246" s="6" t="n">
        <v>26.24</v>
      </c>
      <c r="L246" s="5" t="n">
        <v>9</v>
      </c>
      <c r="M246" s="7" t="n">
        <v>0.4</v>
      </c>
      <c r="N246" s="6" t="n">
        <v>2.43</v>
      </c>
    </row>
    <row r="247" customFormat="false" ht="15" hidden="false" customHeight="false" outlineLevel="0" collapsed="false">
      <c r="A247" s="5" t="s">
        <v>379</v>
      </c>
      <c r="B247" s="5" t="s">
        <v>41</v>
      </c>
      <c r="C247" s="5" t="s">
        <v>50</v>
      </c>
      <c r="D247" s="5" t="s">
        <v>43</v>
      </c>
      <c r="E247" s="5" t="s">
        <v>104</v>
      </c>
      <c r="F247" s="5" t="s">
        <v>105</v>
      </c>
      <c r="G247" s="5" t="n">
        <v>28205</v>
      </c>
      <c r="H247" s="5" t="s">
        <v>53</v>
      </c>
      <c r="I247" s="5" t="s">
        <v>54</v>
      </c>
      <c r="J247" s="5" t="s">
        <v>55</v>
      </c>
      <c r="K247" s="6" t="n">
        <v>182.85</v>
      </c>
      <c r="L247" s="5" t="n">
        <v>9</v>
      </c>
      <c r="M247" s="7" t="n">
        <v>0.1</v>
      </c>
      <c r="N247" s="6" t="n">
        <v>46.65</v>
      </c>
    </row>
    <row r="248" customFormat="false" ht="15" hidden="false" customHeight="false" outlineLevel="0" collapsed="false">
      <c r="A248" s="5" t="s">
        <v>125</v>
      </c>
      <c r="B248" s="5" t="s">
        <v>57</v>
      </c>
      <c r="C248" s="5" t="s">
        <v>50</v>
      </c>
      <c r="D248" s="5" t="s">
        <v>43</v>
      </c>
      <c r="E248" s="5" t="s">
        <v>107</v>
      </c>
      <c r="F248" s="5" t="s">
        <v>108</v>
      </c>
      <c r="G248" s="5" t="n">
        <v>7102</v>
      </c>
      <c r="H248" s="5" t="s">
        <v>46</v>
      </c>
      <c r="I248" s="5" t="s">
        <v>54</v>
      </c>
      <c r="J248" s="5" t="s">
        <v>55</v>
      </c>
      <c r="K248" s="6" t="n">
        <v>85.6</v>
      </c>
      <c r="L248" s="5" t="n">
        <v>7</v>
      </c>
      <c r="M248" s="7" t="n">
        <v>0.2</v>
      </c>
      <c r="N248" s="6" t="n">
        <v>21.81</v>
      </c>
    </row>
    <row r="249" customFormat="false" ht="15" hidden="false" customHeight="false" outlineLevel="0" collapsed="false">
      <c r="A249" s="5" t="s">
        <v>274</v>
      </c>
      <c r="B249" s="5" t="s">
        <v>83</v>
      </c>
      <c r="C249" s="5" t="s">
        <v>69</v>
      </c>
      <c r="D249" s="5" t="s">
        <v>43</v>
      </c>
      <c r="E249" s="5" t="s">
        <v>114</v>
      </c>
      <c r="F249" s="5" t="s">
        <v>115</v>
      </c>
      <c r="G249" s="5" t="n">
        <v>90036</v>
      </c>
      <c r="H249" s="5" t="s">
        <v>72</v>
      </c>
      <c r="I249" s="5" t="s">
        <v>47</v>
      </c>
      <c r="J249" s="5" t="s">
        <v>86</v>
      </c>
      <c r="K249" s="6" t="n">
        <v>168.27</v>
      </c>
      <c r="L249" s="5" t="n">
        <v>6</v>
      </c>
      <c r="M249" s="7" t="n">
        <v>0.1</v>
      </c>
      <c r="N249" s="6" t="n">
        <v>2.98</v>
      </c>
    </row>
    <row r="250" customFormat="false" ht="15" hidden="false" customHeight="false" outlineLevel="0" collapsed="false">
      <c r="A250" s="5" t="s">
        <v>197</v>
      </c>
      <c r="B250" s="5" t="s">
        <v>41</v>
      </c>
      <c r="C250" s="5" t="s">
        <v>69</v>
      </c>
      <c r="D250" s="5" t="s">
        <v>43</v>
      </c>
      <c r="E250" s="5" t="s">
        <v>107</v>
      </c>
      <c r="F250" s="5" t="s">
        <v>108</v>
      </c>
      <c r="G250" s="5" t="n">
        <v>7102</v>
      </c>
      <c r="H250" s="5" t="s">
        <v>46</v>
      </c>
      <c r="I250" s="5" t="s">
        <v>65</v>
      </c>
      <c r="J250" s="5" t="s">
        <v>124</v>
      </c>
      <c r="K250" s="6" t="n">
        <v>25.79</v>
      </c>
      <c r="L250" s="5" t="n">
        <v>6</v>
      </c>
      <c r="M250" s="7" t="n">
        <v>0.2</v>
      </c>
      <c r="N250" s="6" t="n">
        <v>5.3</v>
      </c>
    </row>
    <row r="251" customFormat="false" ht="15" hidden="false" customHeight="false" outlineLevel="0" collapsed="false">
      <c r="A251" s="5" t="s">
        <v>301</v>
      </c>
      <c r="B251" s="5" t="s">
        <v>68</v>
      </c>
      <c r="C251" s="5" t="s">
        <v>69</v>
      </c>
      <c r="D251" s="5" t="s">
        <v>43</v>
      </c>
      <c r="E251" s="5" t="s">
        <v>95</v>
      </c>
      <c r="F251" s="5" t="s">
        <v>96</v>
      </c>
      <c r="G251" s="5" t="n">
        <v>97206</v>
      </c>
      <c r="H251" s="5" t="s">
        <v>72</v>
      </c>
      <c r="I251" s="5" t="s">
        <v>54</v>
      </c>
      <c r="J251" s="5" t="s">
        <v>55</v>
      </c>
      <c r="K251" s="6" t="n">
        <v>178.07</v>
      </c>
      <c r="L251" s="5" t="n">
        <v>3</v>
      </c>
      <c r="M251" s="7" t="n">
        <v>0.5</v>
      </c>
      <c r="N251" s="6" t="n">
        <v>4.5</v>
      </c>
    </row>
    <row r="252" customFormat="false" ht="15" hidden="false" customHeight="false" outlineLevel="0" collapsed="false">
      <c r="A252" s="5" t="s">
        <v>322</v>
      </c>
      <c r="B252" s="5" t="s">
        <v>57</v>
      </c>
      <c r="C252" s="5" t="s">
        <v>42</v>
      </c>
      <c r="D252" s="5" t="s">
        <v>43</v>
      </c>
      <c r="E252" s="5" t="s">
        <v>70</v>
      </c>
      <c r="F252" s="5" t="s">
        <v>71</v>
      </c>
      <c r="G252" s="5" t="n">
        <v>80219</v>
      </c>
      <c r="H252" s="5" t="s">
        <v>72</v>
      </c>
      <c r="I252" s="5" t="s">
        <v>47</v>
      </c>
      <c r="J252" s="5" t="s">
        <v>84</v>
      </c>
      <c r="K252" s="6" t="n">
        <v>28.44</v>
      </c>
      <c r="L252" s="5" t="n">
        <v>9</v>
      </c>
      <c r="M252" s="7" t="n">
        <v>0</v>
      </c>
      <c r="N252" s="6" t="n">
        <v>-1.46</v>
      </c>
    </row>
    <row r="253" customFormat="false" ht="15" hidden="false" customHeight="false" outlineLevel="0" collapsed="false">
      <c r="A253" s="5" t="s">
        <v>209</v>
      </c>
      <c r="B253" s="5" t="s">
        <v>41</v>
      </c>
      <c r="C253" s="5" t="s">
        <v>42</v>
      </c>
      <c r="D253" s="5" t="s">
        <v>43</v>
      </c>
      <c r="E253" s="5" t="s">
        <v>62</v>
      </c>
      <c r="F253" s="5" t="s">
        <v>63</v>
      </c>
      <c r="G253" s="5" t="n">
        <v>77095</v>
      </c>
      <c r="H253" s="5" t="s">
        <v>64</v>
      </c>
      <c r="I253" s="5" t="s">
        <v>54</v>
      </c>
      <c r="J253" s="5" t="s">
        <v>93</v>
      </c>
      <c r="K253" s="6" t="n">
        <v>284.56</v>
      </c>
      <c r="L253" s="5" t="n">
        <v>2</v>
      </c>
      <c r="M253" s="7" t="n">
        <v>0.1</v>
      </c>
      <c r="N253" s="6" t="n">
        <v>115.46</v>
      </c>
    </row>
    <row r="254" customFormat="false" ht="15" hidden="false" customHeight="false" outlineLevel="0" collapsed="false">
      <c r="A254" s="5" t="s">
        <v>367</v>
      </c>
      <c r="B254" s="5" t="s">
        <v>57</v>
      </c>
      <c r="C254" s="5" t="s">
        <v>69</v>
      </c>
      <c r="D254" s="5" t="s">
        <v>43</v>
      </c>
      <c r="E254" s="5" t="s">
        <v>112</v>
      </c>
      <c r="F254" s="5" t="s">
        <v>63</v>
      </c>
      <c r="G254" s="5" t="n">
        <v>75217</v>
      </c>
      <c r="H254" s="5" t="s">
        <v>64</v>
      </c>
      <c r="I254" s="5" t="s">
        <v>65</v>
      </c>
      <c r="J254" s="5" t="s">
        <v>66</v>
      </c>
      <c r="K254" s="6" t="n">
        <v>139.8</v>
      </c>
      <c r="L254" s="5" t="n">
        <v>2</v>
      </c>
      <c r="M254" s="7" t="n">
        <v>0.2</v>
      </c>
      <c r="N254" s="6" t="n">
        <v>14.07</v>
      </c>
    </row>
    <row r="255" customFormat="false" ht="15" hidden="false" customHeight="false" outlineLevel="0" collapsed="false">
      <c r="A255" s="5" t="s">
        <v>289</v>
      </c>
      <c r="B255" s="5" t="s">
        <v>83</v>
      </c>
      <c r="C255" s="5" t="s">
        <v>69</v>
      </c>
      <c r="D255" s="5" t="s">
        <v>43</v>
      </c>
      <c r="E255" s="5" t="s">
        <v>95</v>
      </c>
      <c r="F255" s="5" t="s">
        <v>96</v>
      </c>
      <c r="G255" s="5" t="n">
        <v>97206</v>
      </c>
      <c r="H255" s="5" t="s">
        <v>72</v>
      </c>
      <c r="I255" s="5" t="s">
        <v>54</v>
      </c>
      <c r="J255" s="5" t="s">
        <v>93</v>
      </c>
      <c r="K255" s="6" t="n">
        <v>115.52</v>
      </c>
      <c r="L255" s="5" t="n">
        <v>2</v>
      </c>
      <c r="M255" s="7" t="n">
        <v>0</v>
      </c>
      <c r="N255" s="6" t="n">
        <v>63.34</v>
      </c>
    </row>
    <row r="256" customFormat="false" ht="15" hidden="false" customHeight="false" outlineLevel="0" collapsed="false">
      <c r="A256" s="5" t="s">
        <v>203</v>
      </c>
      <c r="B256" s="5" t="s">
        <v>83</v>
      </c>
      <c r="C256" s="5" t="s">
        <v>50</v>
      </c>
      <c r="D256" s="5" t="s">
        <v>43</v>
      </c>
      <c r="E256" s="5" t="s">
        <v>176</v>
      </c>
      <c r="F256" s="5" t="s">
        <v>177</v>
      </c>
      <c r="G256" s="5" t="n">
        <v>55407</v>
      </c>
      <c r="H256" s="5" t="s">
        <v>64</v>
      </c>
      <c r="I256" s="5" t="s">
        <v>47</v>
      </c>
      <c r="J256" s="5" t="s">
        <v>84</v>
      </c>
      <c r="K256" s="6" t="n">
        <v>56.15</v>
      </c>
      <c r="L256" s="5" t="n">
        <v>2</v>
      </c>
      <c r="M256" s="7" t="n">
        <v>0.2</v>
      </c>
      <c r="N256" s="6" t="n">
        <v>-11.12</v>
      </c>
    </row>
    <row r="257" customFormat="false" ht="15" hidden="false" customHeight="false" outlineLevel="0" collapsed="false">
      <c r="A257" s="5" t="s">
        <v>315</v>
      </c>
      <c r="B257" s="5" t="s">
        <v>57</v>
      </c>
      <c r="C257" s="5" t="s">
        <v>50</v>
      </c>
      <c r="D257" s="5" t="s">
        <v>43</v>
      </c>
      <c r="E257" s="5" t="s">
        <v>91</v>
      </c>
      <c r="F257" s="5" t="s">
        <v>92</v>
      </c>
      <c r="G257" s="5" t="n">
        <v>33311</v>
      </c>
      <c r="H257" s="5" t="s">
        <v>53</v>
      </c>
      <c r="I257" s="5" t="s">
        <v>54</v>
      </c>
      <c r="J257" s="5" t="s">
        <v>93</v>
      </c>
      <c r="K257" s="6" t="n">
        <v>8144.44</v>
      </c>
      <c r="L257" s="5" t="n">
        <v>8</v>
      </c>
      <c r="M257" s="7" t="n">
        <v>0.5</v>
      </c>
      <c r="N257" s="6" t="n">
        <v>-2075.14</v>
      </c>
    </row>
    <row r="258" customFormat="false" ht="15" hidden="false" customHeight="false" outlineLevel="0" collapsed="false">
      <c r="A258" s="5" t="s">
        <v>386</v>
      </c>
      <c r="B258" s="5" t="s">
        <v>57</v>
      </c>
      <c r="C258" s="5" t="s">
        <v>42</v>
      </c>
      <c r="D258" s="5" t="s">
        <v>43</v>
      </c>
      <c r="E258" s="5" t="s">
        <v>62</v>
      </c>
      <c r="F258" s="5" t="s">
        <v>63</v>
      </c>
      <c r="G258" s="5" t="n">
        <v>77095</v>
      </c>
      <c r="H258" s="5" t="s">
        <v>64</v>
      </c>
      <c r="I258" s="5" t="s">
        <v>54</v>
      </c>
      <c r="J258" s="5" t="s">
        <v>93</v>
      </c>
      <c r="K258" s="6" t="n">
        <v>118.6</v>
      </c>
      <c r="L258" s="5" t="n">
        <v>9</v>
      </c>
      <c r="M258" s="7" t="n">
        <v>0.4</v>
      </c>
      <c r="N258" s="6" t="n">
        <v>25.8</v>
      </c>
    </row>
    <row r="259" customFormat="false" ht="15" hidden="false" customHeight="false" outlineLevel="0" collapsed="false">
      <c r="A259" s="5" t="s">
        <v>208</v>
      </c>
      <c r="B259" s="5" t="s">
        <v>68</v>
      </c>
      <c r="C259" s="5" t="s">
        <v>42</v>
      </c>
      <c r="D259" s="5" t="s">
        <v>43</v>
      </c>
      <c r="E259" s="5" t="s">
        <v>79</v>
      </c>
      <c r="F259" s="5" t="s">
        <v>80</v>
      </c>
      <c r="G259" s="5" t="n">
        <v>2127</v>
      </c>
      <c r="H259" s="5" t="s">
        <v>46</v>
      </c>
      <c r="I259" s="5" t="s">
        <v>65</v>
      </c>
      <c r="J259" s="5" t="s">
        <v>109</v>
      </c>
      <c r="K259" s="6" t="n">
        <v>51.09</v>
      </c>
      <c r="L259" s="5" t="n">
        <v>5</v>
      </c>
      <c r="M259" s="7" t="n">
        <v>0.1</v>
      </c>
      <c r="N259" s="6" t="n">
        <v>14.27</v>
      </c>
    </row>
    <row r="260" customFormat="false" ht="15" hidden="false" customHeight="false" outlineLevel="0" collapsed="false">
      <c r="A260" s="5" t="s">
        <v>94</v>
      </c>
      <c r="B260" s="5" t="s">
        <v>57</v>
      </c>
      <c r="C260" s="5" t="s">
        <v>69</v>
      </c>
      <c r="D260" s="5" t="s">
        <v>43</v>
      </c>
      <c r="E260" s="5" t="s">
        <v>95</v>
      </c>
      <c r="F260" s="5" t="s">
        <v>96</v>
      </c>
      <c r="G260" s="5" t="n">
        <v>97206</v>
      </c>
      <c r="H260" s="5" t="s">
        <v>72</v>
      </c>
      <c r="I260" s="5" t="s">
        <v>54</v>
      </c>
      <c r="J260" s="5" t="s">
        <v>55</v>
      </c>
      <c r="K260" s="6" t="n">
        <v>261.72</v>
      </c>
      <c r="L260" s="5" t="n">
        <v>8</v>
      </c>
      <c r="M260" s="7" t="n">
        <v>0.4</v>
      </c>
      <c r="N260" s="6" t="n">
        <v>44.84</v>
      </c>
    </row>
    <row r="261" customFormat="false" ht="15" hidden="false" customHeight="false" outlineLevel="0" collapsed="false">
      <c r="A261" s="5" t="s">
        <v>311</v>
      </c>
      <c r="B261" s="5" t="s">
        <v>68</v>
      </c>
      <c r="C261" s="5" t="s">
        <v>69</v>
      </c>
      <c r="D261" s="5" t="s">
        <v>43</v>
      </c>
      <c r="E261" s="5" t="s">
        <v>107</v>
      </c>
      <c r="F261" s="5" t="s">
        <v>108</v>
      </c>
      <c r="G261" s="5" t="n">
        <v>7102</v>
      </c>
      <c r="H261" s="5" t="s">
        <v>46</v>
      </c>
      <c r="I261" s="5" t="s">
        <v>65</v>
      </c>
      <c r="J261" s="5" t="s">
        <v>120</v>
      </c>
      <c r="K261" s="6" t="n">
        <v>87.62</v>
      </c>
      <c r="L261" s="5" t="n">
        <v>8</v>
      </c>
      <c r="M261" s="7" t="n">
        <v>0.2</v>
      </c>
      <c r="N261" s="6" t="n">
        <v>8.48</v>
      </c>
    </row>
    <row r="262" customFormat="false" ht="15" hidden="false" customHeight="false" outlineLevel="0" collapsed="false">
      <c r="A262" s="5" t="s">
        <v>252</v>
      </c>
      <c r="B262" s="5" t="s">
        <v>57</v>
      </c>
      <c r="C262" s="5" t="s">
        <v>69</v>
      </c>
      <c r="D262" s="5" t="s">
        <v>43</v>
      </c>
      <c r="E262" s="5" t="s">
        <v>75</v>
      </c>
      <c r="F262" s="5" t="s">
        <v>76</v>
      </c>
      <c r="G262" s="5" t="n">
        <v>60610</v>
      </c>
      <c r="H262" s="5" t="s">
        <v>64</v>
      </c>
      <c r="I262" s="5" t="s">
        <v>65</v>
      </c>
      <c r="J262" s="5" t="s">
        <v>120</v>
      </c>
      <c r="K262" s="6" t="n">
        <v>42.84</v>
      </c>
      <c r="L262" s="5" t="n">
        <v>3</v>
      </c>
      <c r="M262" s="7" t="n">
        <v>0.4</v>
      </c>
      <c r="N262" s="6" t="n">
        <v>3.07</v>
      </c>
    </row>
    <row r="263" customFormat="false" ht="15" hidden="false" customHeight="false" outlineLevel="0" collapsed="false">
      <c r="A263" s="5" t="s">
        <v>290</v>
      </c>
      <c r="B263" s="5" t="s">
        <v>57</v>
      </c>
      <c r="C263" s="5" t="s">
        <v>42</v>
      </c>
      <c r="D263" s="5" t="s">
        <v>43</v>
      </c>
      <c r="E263" s="5" t="s">
        <v>44</v>
      </c>
      <c r="F263" s="5" t="s">
        <v>45</v>
      </c>
      <c r="G263" s="5" t="n">
        <v>10011</v>
      </c>
      <c r="H263" s="5" t="s">
        <v>46</v>
      </c>
      <c r="I263" s="5" t="s">
        <v>65</v>
      </c>
      <c r="J263" s="5" t="s">
        <v>133</v>
      </c>
      <c r="K263" s="6" t="n">
        <v>102.11</v>
      </c>
      <c r="L263" s="5" t="n">
        <v>6</v>
      </c>
      <c r="M263" s="7" t="n">
        <v>0.2</v>
      </c>
      <c r="N263" s="6" t="n">
        <v>32.68</v>
      </c>
    </row>
    <row r="264" customFormat="false" ht="15" hidden="false" customHeight="false" outlineLevel="0" collapsed="false">
      <c r="A264" s="5" t="s">
        <v>370</v>
      </c>
      <c r="B264" s="5" t="s">
        <v>68</v>
      </c>
      <c r="C264" s="5" t="s">
        <v>50</v>
      </c>
      <c r="D264" s="5" t="s">
        <v>43</v>
      </c>
      <c r="E264" s="5" t="s">
        <v>112</v>
      </c>
      <c r="F264" s="5" t="s">
        <v>63</v>
      </c>
      <c r="G264" s="5" t="n">
        <v>75217</v>
      </c>
      <c r="H264" s="5" t="s">
        <v>64</v>
      </c>
      <c r="I264" s="5" t="s">
        <v>54</v>
      </c>
      <c r="J264" s="5" t="s">
        <v>93</v>
      </c>
      <c r="K264" s="6" t="n">
        <v>66.25</v>
      </c>
      <c r="L264" s="5" t="n">
        <v>6</v>
      </c>
      <c r="M264" s="7" t="n">
        <v>0.4</v>
      </c>
      <c r="N264" s="6" t="n">
        <v>14.65</v>
      </c>
    </row>
    <row r="265" customFormat="false" ht="15" hidden="false" customHeight="false" outlineLevel="0" collapsed="false">
      <c r="A265" s="5" t="s">
        <v>182</v>
      </c>
      <c r="B265" s="5" t="s">
        <v>41</v>
      </c>
      <c r="C265" s="5" t="s">
        <v>50</v>
      </c>
      <c r="D265" s="5" t="s">
        <v>43</v>
      </c>
      <c r="E265" s="5" t="s">
        <v>70</v>
      </c>
      <c r="F265" s="5" t="s">
        <v>71</v>
      </c>
      <c r="G265" s="5" t="n">
        <v>80219</v>
      </c>
      <c r="H265" s="5" t="s">
        <v>72</v>
      </c>
      <c r="I265" s="5" t="s">
        <v>54</v>
      </c>
      <c r="J265" s="5" t="s">
        <v>73</v>
      </c>
      <c r="K265" s="6" t="n">
        <v>53.63</v>
      </c>
      <c r="L265" s="5" t="n">
        <v>1</v>
      </c>
      <c r="M265" s="7" t="n">
        <v>0</v>
      </c>
      <c r="N265" s="6" t="n">
        <v>16.36</v>
      </c>
    </row>
    <row r="266" customFormat="false" ht="15" hidden="false" customHeight="false" outlineLevel="0" collapsed="false">
      <c r="A266" s="5" t="s">
        <v>194</v>
      </c>
      <c r="B266" s="5" t="s">
        <v>41</v>
      </c>
      <c r="C266" s="5" t="s">
        <v>69</v>
      </c>
      <c r="D266" s="5" t="s">
        <v>43</v>
      </c>
      <c r="E266" s="5" t="s">
        <v>44</v>
      </c>
      <c r="F266" s="5" t="s">
        <v>45</v>
      </c>
      <c r="G266" s="5" t="n">
        <v>10011</v>
      </c>
      <c r="H266" s="5" t="s">
        <v>46</v>
      </c>
      <c r="I266" s="5" t="s">
        <v>65</v>
      </c>
      <c r="J266" s="5" t="s">
        <v>138</v>
      </c>
      <c r="K266" s="6" t="n">
        <v>10.75</v>
      </c>
      <c r="L266" s="5" t="n">
        <v>3</v>
      </c>
      <c r="M266" s="7" t="n">
        <v>0.2</v>
      </c>
      <c r="N266" s="6" t="n">
        <v>2.67</v>
      </c>
    </row>
    <row r="267" customFormat="false" ht="15" hidden="false" customHeight="false" outlineLevel="0" collapsed="false">
      <c r="A267" s="5" t="s">
        <v>313</v>
      </c>
      <c r="B267" s="5" t="s">
        <v>68</v>
      </c>
      <c r="C267" s="5" t="s">
        <v>42</v>
      </c>
      <c r="D267" s="5" t="s">
        <v>43</v>
      </c>
      <c r="E267" s="5" t="s">
        <v>107</v>
      </c>
      <c r="F267" s="5" t="s">
        <v>108</v>
      </c>
      <c r="G267" s="5" t="n">
        <v>7102</v>
      </c>
      <c r="H267" s="5" t="s">
        <v>46</v>
      </c>
      <c r="I267" s="5" t="s">
        <v>65</v>
      </c>
      <c r="J267" s="5" t="s">
        <v>133</v>
      </c>
      <c r="K267" s="6" t="n">
        <v>43.13</v>
      </c>
      <c r="L267" s="5" t="n">
        <v>1</v>
      </c>
      <c r="M267" s="7" t="n">
        <v>0</v>
      </c>
      <c r="N267" s="6" t="n">
        <v>14.82</v>
      </c>
    </row>
    <row r="268" customFormat="false" ht="15" hidden="false" customHeight="false" outlineLevel="0" collapsed="false">
      <c r="A268" s="5" t="s">
        <v>327</v>
      </c>
      <c r="B268" s="5" t="s">
        <v>57</v>
      </c>
      <c r="C268" s="5" t="s">
        <v>69</v>
      </c>
      <c r="D268" s="5" t="s">
        <v>43</v>
      </c>
      <c r="E268" s="5" t="s">
        <v>75</v>
      </c>
      <c r="F268" s="5" t="s">
        <v>76</v>
      </c>
      <c r="G268" s="5" t="n">
        <v>60610</v>
      </c>
      <c r="H268" s="5" t="s">
        <v>64</v>
      </c>
      <c r="I268" s="5" t="s">
        <v>54</v>
      </c>
      <c r="J268" s="5" t="s">
        <v>73</v>
      </c>
      <c r="K268" s="6" t="n">
        <v>180.86</v>
      </c>
      <c r="L268" s="5" t="n">
        <v>6</v>
      </c>
      <c r="M268" s="7" t="n">
        <v>0.7</v>
      </c>
      <c r="N268" s="6" t="n">
        <v>1.4</v>
      </c>
    </row>
    <row r="269" customFormat="false" ht="15" hidden="false" customHeight="false" outlineLevel="0" collapsed="false">
      <c r="A269" s="5" t="s">
        <v>196</v>
      </c>
      <c r="B269" s="5" t="s">
        <v>57</v>
      </c>
      <c r="C269" s="5" t="s">
        <v>69</v>
      </c>
      <c r="D269" s="5" t="s">
        <v>43</v>
      </c>
      <c r="E269" s="5" t="s">
        <v>95</v>
      </c>
      <c r="F269" s="5" t="s">
        <v>96</v>
      </c>
      <c r="G269" s="5" t="n">
        <v>97206</v>
      </c>
      <c r="H269" s="5" t="s">
        <v>72</v>
      </c>
      <c r="I269" s="5" t="s">
        <v>65</v>
      </c>
      <c r="J269" s="5" t="s">
        <v>120</v>
      </c>
      <c r="K269" s="6" t="n">
        <v>131.97</v>
      </c>
      <c r="L269" s="5" t="n">
        <v>6</v>
      </c>
      <c r="M269" s="7" t="n">
        <v>0</v>
      </c>
      <c r="N269" s="6" t="n">
        <v>37.15</v>
      </c>
    </row>
    <row r="270" customFormat="false" ht="15" hidden="false" customHeight="false" outlineLevel="0" collapsed="false">
      <c r="A270" s="5" t="s">
        <v>167</v>
      </c>
      <c r="B270" s="5" t="s">
        <v>57</v>
      </c>
      <c r="C270" s="5" t="s">
        <v>69</v>
      </c>
      <c r="D270" s="5" t="s">
        <v>43</v>
      </c>
      <c r="E270" s="5" t="s">
        <v>118</v>
      </c>
      <c r="F270" s="5" t="s">
        <v>119</v>
      </c>
      <c r="G270" s="5" t="n">
        <v>98103</v>
      </c>
      <c r="H270" s="5" t="s">
        <v>72</v>
      </c>
      <c r="I270" s="5" t="s">
        <v>47</v>
      </c>
      <c r="J270" s="5" t="s">
        <v>48</v>
      </c>
      <c r="K270" s="6" t="n">
        <v>111.46</v>
      </c>
      <c r="L270" s="5" t="n">
        <v>7</v>
      </c>
      <c r="M270" s="7" t="n">
        <v>0.2</v>
      </c>
      <c r="N270" s="6" t="n">
        <v>3.57</v>
      </c>
    </row>
    <row r="271" customFormat="false" ht="15" hidden="false" customHeight="false" outlineLevel="0" collapsed="false">
      <c r="A271" s="5" t="s">
        <v>392</v>
      </c>
      <c r="B271" s="5" t="s">
        <v>68</v>
      </c>
      <c r="C271" s="5" t="s">
        <v>42</v>
      </c>
      <c r="D271" s="5" t="s">
        <v>43</v>
      </c>
      <c r="E271" s="5" t="s">
        <v>100</v>
      </c>
      <c r="F271" s="5" t="s">
        <v>101</v>
      </c>
      <c r="G271" s="5" t="n">
        <v>19140</v>
      </c>
      <c r="H271" s="5" t="s">
        <v>46</v>
      </c>
      <c r="I271" s="5" t="s">
        <v>65</v>
      </c>
      <c r="J271" s="5" t="s">
        <v>133</v>
      </c>
      <c r="K271" s="6" t="n">
        <v>102.81</v>
      </c>
      <c r="L271" s="5" t="n">
        <v>5</v>
      </c>
      <c r="M271" s="7" t="n">
        <v>0.4</v>
      </c>
      <c r="N271" s="6" t="n">
        <v>24.91</v>
      </c>
    </row>
    <row r="272" customFormat="false" ht="15" hidden="false" customHeight="false" outlineLevel="0" collapsed="false">
      <c r="A272" s="5" t="s">
        <v>328</v>
      </c>
      <c r="B272" s="5" t="s">
        <v>68</v>
      </c>
      <c r="C272" s="5" t="s">
        <v>50</v>
      </c>
      <c r="D272" s="5" t="s">
        <v>43</v>
      </c>
      <c r="E272" s="5" t="s">
        <v>44</v>
      </c>
      <c r="F272" s="5" t="s">
        <v>45</v>
      </c>
      <c r="G272" s="5" t="n">
        <v>10011</v>
      </c>
      <c r="H272" s="5" t="s">
        <v>46</v>
      </c>
      <c r="I272" s="5" t="s">
        <v>65</v>
      </c>
      <c r="J272" s="5" t="s">
        <v>109</v>
      </c>
      <c r="K272" s="6" t="n">
        <v>32.42</v>
      </c>
      <c r="L272" s="5" t="n">
        <v>2</v>
      </c>
      <c r="M272" s="7" t="n">
        <v>0.2</v>
      </c>
      <c r="N272" s="6" t="n">
        <v>7.97</v>
      </c>
    </row>
    <row r="273" customFormat="false" ht="15" hidden="false" customHeight="false" outlineLevel="0" collapsed="false">
      <c r="A273" s="5" t="s">
        <v>350</v>
      </c>
      <c r="B273" s="5" t="s">
        <v>68</v>
      </c>
      <c r="C273" s="5" t="s">
        <v>69</v>
      </c>
      <c r="D273" s="5" t="s">
        <v>43</v>
      </c>
      <c r="E273" s="5" t="s">
        <v>58</v>
      </c>
      <c r="F273" s="5" t="s">
        <v>59</v>
      </c>
      <c r="G273" s="5" t="n">
        <v>30318</v>
      </c>
      <c r="H273" s="5" t="s">
        <v>53</v>
      </c>
      <c r="I273" s="5" t="s">
        <v>47</v>
      </c>
      <c r="J273" s="5" t="s">
        <v>84</v>
      </c>
      <c r="K273" s="6" t="n">
        <v>76.04</v>
      </c>
      <c r="L273" s="5" t="n">
        <v>9</v>
      </c>
      <c r="M273" s="7" t="n">
        <v>0.2</v>
      </c>
      <c r="N273" s="6" t="n">
        <v>-9.7</v>
      </c>
    </row>
    <row r="274" customFormat="false" ht="15" hidden="false" customHeight="false" outlineLevel="0" collapsed="false">
      <c r="A274" s="5" t="s">
        <v>255</v>
      </c>
      <c r="B274" s="5" t="s">
        <v>57</v>
      </c>
      <c r="C274" s="5" t="s">
        <v>50</v>
      </c>
      <c r="D274" s="5" t="s">
        <v>43</v>
      </c>
      <c r="E274" s="5" t="s">
        <v>44</v>
      </c>
      <c r="F274" s="5" t="s">
        <v>45</v>
      </c>
      <c r="G274" s="5" t="n">
        <v>10011</v>
      </c>
      <c r="H274" s="5" t="s">
        <v>46</v>
      </c>
      <c r="I274" s="5" t="s">
        <v>54</v>
      </c>
      <c r="J274" s="5" t="s">
        <v>93</v>
      </c>
      <c r="K274" s="6" t="n">
        <v>348.71</v>
      </c>
      <c r="L274" s="5" t="n">
        <v>2</v>
      </c>
      <c r="M274" s="7" t="n">
        <v>0.1</v>
      </c>
      <c r="N274" s="6" t="n">
        <v>156.78</v>
      </c>
    </row>
    <row r="275" customFormat="false" ht="15" hidden="false" customHeight="false" outlineLevel="0" collapsed="false">
      <c r="A275" s="5" t="s">
        <v>98</v>
      </c>
      <c r="B275" s="5" t="s">
        <v>57</v>
      </c>
      <c r="C275" s="5" t="s">
        <v>69</v>
      </c>
      <c r="D275" s="5" t="s">
        <v>43</v>
      </c>
      <c r="E275" s="5" t="s">
        <v>95</v>
      </c>
      <c r="F275" s="5" t="s">
        <v>96</v>
      </c>
      <c r="G275" s="5" t="n">
        <v>97206</v>
      </c>
      <c r="H275" s="5" t="s">
        <v>72</v>
      </c>
      <c r="I275" s="5" t="s">
        <v>54</v>
      </c>
      <c r="J275" s="5" t="s">
        <v>73</v>
      </c>
      <c r="K275" s="6" t="n">
        <v>343.57</v>
      </c>
      <c r="L275" s="5" t="n">
        <v>1</v>
      </c>
      <c r="M275" s="7" t="n">
        <v>0.2</v>
      </c>
      <c r="N275" s="6" t="n">
        <v>94.03</v>
      </c>
    </row>
    <row r="276" customFormat="false" ht="15" hidden="false" customHeight="false" outlineLevel="0" collapsed="false">
      <c r="A276" s="5" t="s">
        <v>152</v>
      </c>
      <c r="B276" s="5" t="s">
        <v>83</v>
      </c>
      <c r="C276" s="5" t="s">
        <v>42</v>
      </c>
      <c r="D276" s="5" t="s">
        <v>43</v>
      </c>
      <c r="E276" s="5" t="s">
        <v>107</v>
      </c>
      <c r="F276" s="5" t="s">
        <v>108</v>
      </c>
      <c r="G276" s="5" t="n">
        <v>7102</v>
      </c>
      <c r="H276" s="5" t="s">
        <v>46</v>
      </c>
      <c r="I276" s="5" t="s">
        <v>47</v>
      </c>
      <c r="J276" s="5" t="s">
        <v>84</v>
      </c>
      <c r="K276" s="6" t="n">
        <v>251.27</v>
      </c>
      <c r="L276" s="5" t="n">
        <v>9</v>
      </c>
      <c r="M276" s="7" t="n">
        <v>0.1</v>
      </c>
      <c r="N276" s="6" t="n">
        <v>-15.08</v>
      </c>
    </row>
    <row r="277" customFormat="false" ht="15" hidden="false" customHeight="false" outlineLevel="0" collapsed="false">
      <c r="A277" s="5" t="s">
        <v>157</v>
      </c>
      <c r="B277" s="5" t="s">
        <v>57</v>
      </c>
      <c r="C277" s="5" t="s">
        <v>42</v>
      </c>
      <c r="D277" s="5" t="s">
        <v>43</v>
      </c>
      <c r="E277" s="5" t="s">
        <v>75</v>
      </c>
      <c r="F277" s="5" t="s">
        <v>76</v>
      </c>
      <c r="G277" s="5" t="n">
        <v>60610</v>
      </c>
      <c r="H277" s="5" t="s">
        <v>64</v>
      </c>
      <c r="I277" s="5" t="s">
        <v>65</v>
      </c>
      <c r="J277" s="5" t="s">
        <v>81</v>
      </c>
      <c r="K277" s="6" t="n">
        <v>36.83</v>
      </c>
      <c r="L277" s="5" t="n">
        <v>1</v>
      </c>
      <c r="M277" s="7" t="n">
        <v>0.1</v>
      </c>
      <c r="N277" s="6" t="n">
        <v>9.29</v>
      </c>
    </row>
    <row r="278" customFormat="false" ht="15" hidden="false" customHeight="false" outlineLevel="0" collapsed="false">
      <c r="A278" s="5" t="s">
        <v>223</v>
      </c>
      <c r="B278" s="5" t="s">
        <v>41</v>
      </c>
      <c r="C278" s="5" t="s">
        <v>42</v>
      </c>
      <c r="D278" s="5" t="s">
        <v>43</v>
      </c>
      <c r="E278" s="5" t="s">
        <v>91</v>
      </c>
      <c r="F278" s="5" t="s">
        <v>92</v>
      </c>
      <c r="G278" s="5" t="n">
        <v>33311</v>
      </c>
      <c r="H278" s="5" t="s">
        <v>53</v>
      </c>
      <c r="I278" s="5" t="s">
        <v>65</v>
      </c>
      <c r="J278" s="5" t="s">
        <v>109</v>
      </c>
      <c r="K278" s="6" t="n">
        <v>102.12</v>
      </c>
      <c r="L278" s="5" t="n">
        <v>7</v>
      </c>
      <c r="M278" s="7" t="n">
        <v>0.2</v>
      </c>
      <c r="N278" s="6" t="n">
        <v>13.73</v>
      </c>
    </row>
    <row r="279" customFormat="false" ht="15" hidden="false" customHeight="false" outlineLevel="0" collapsed="false">
      <c r="A279" s="5" t="s">
        <v>148</v>
      </c>
      <c r="B279" s="5" t="s">
        <v>41</v>
      </c>
      <c r="C279" s="5" t="s">
        <v>69</v>
      </c>
      <c r="D279" s="5" t="s">
        <v>43</v>
      </c>
      <c r="E279" s="5" t="s">
        <v>62</v>
      </c>
      <c r="F279" s="5" t="s">
        <v>63</v>
      </c>
      <c r="G279" s="5" t="n">
        <v>77095</v>
      </c>
      <c r="H279" s="5" t="s">
        <v>64</v>
      </c>
      <c r="I279" s="5" t="s">
        <v>54</v>
      </c>
      <c r="J279" s="5" t="s">
        <v>73</v>
      </c>
      <c r="K279" s="6" t="n">
        <v>149.2</v>
      </c>
      <c r="L279" s="5" t="n">
        <v>3</v>
      </c>
      <c r="M279" s="7" t="n">
        <v>0</v>
      </c>
      <c r="N279" s="6" t="n">
        <v>-28.3</v>
      </c>
    </row>
    <row r="280" customFormat="false" ht="15" hidden="false" customHeight="false" outlineLevel="0" collapsed="false">
      <c r="A280" s="5" t="s">
        <v>354</v>
      </c>
      <c r="B280" s="5" t="s">
        <v>41</v>
      </c>
      <c r="C280" s="5" t="s">
        <v>50</v>
      </c>
      <c r="D280" s="5" t="s">
        <v>43</v>
      </c>
      <c r="E280" s="5" t="s">
        <v>118</v>
      </c>
      <c r="F280" s="5" t="s">
        <v>119</v>
      </c>
      <c r="G280" s="5" t="n">
        <v>98103</v>
      </c>
      <c r="H280" s="5" t="s">
        <v>72</v>
      </c>
      <c r="I280" s="5" t="s">
        <v>54</v>
      </c>
      <c r="J280" s="5" t="s">
        <v>73</v>
      </c>
      <c r="K280" s="6" t="n">
        <v>254.59</v>
      </c>
      <c r="L280" s="5" t="n">
        <v>2</v>
      </c>
      <c r="M280" s="7" t="n">
        <v>0</v>
      </c>
      <c r="N280" s="6" t="n">
        <v>80.78</v>
      </c>
    </row>
    <row r="281" customFormat="false" ht="15" hidden="false" customHeight="false" outlineLevel="0" collapsed="false">
      <c r="A281" s="5" t="s">
        <v>140</v>
      </c>
      <c r="B281" s="5" t="s">
        <v>41</v>
      </c>
      <c r="C281" s="5" t="s">
        <v>69</v>
      </c>
      <c r="D281" s="5" t="s">
        <v>43</v>
      </c>
      <c r="E281" s="5" t="s">
        <v>70</v>
      </c>
      <c r="F281" s="5" t="s">
        <v>71</v>
      </c>
      <c r="G281" s="5" t="n">
        <v>80219</v>
      </c>
      <c r="H281" s="5" t="s">
        <v>72</v>
      </c>
      <c r="I281" s="5" t="s">
        <v>47</v>
      </c>
      <c r="J281" s="5" t="s">
        <v>48</v>
      </c>
      <c r="K281" s="6" t="n">
        <v>156.24</v>
      </c>
      <c r="L281" s="5" t="n">
        <v>3</v>
      </c>
      <c r="M281" s="7" t="n">
        <v>0.2</v>
      </c>
      <c r="N281" s="6" t="n">
        <v>13.51</v>
      </c>
    </row>
    <row r="282" customFormat="false" ht="15" hidden="false" customHeight="false" outlineLevel="0" collapsed="false">
      <c r="A282" s="5" t="s">
        <v>336</v>
      </c>
      <c r="B282" s="5" t="s">
        <v>57</v>
      </c>
      <c r="C282" s="5" t="s">
        <v>50</v>
      </c>
      <c r="D282" s="5" t="s">
        <v>43</v>
      </c>
      <c r="E282" s="5" t="s">
        <v>104</v>
      </c>
      <c r="F282" s="5" t="s">
        <v>105</v>
      </c>
      <c r="G282" s="5" t="n">
        <v>28205</v>
      </c>
      <c r="H282" s="5" t="s">
        <v>53</v>
      </c>
      <c r="I282" s="5" t="s">
        <v>54</v>
      </c>
      <c r="J282" s="5" t="s">
        <v>73</v>
      </c>
      <c r="K282" s="6" t="n">
        <v>64.34</v>
      </c>
      <c r="L282" s="5" t="n">
        <v>9</v>
      </c>
      <c r="M282" s="7" t="n">
        <v>0.15</v>
      </c>
      <c r="N282" s="6" t="n">
        <v>18.58</v>
      </c>
    </row>
    <row r="283" customFormat="false" ht="15" hidden="false" customHeight="false" outlineLevel="0" collapsed="false">
      <c r="A283" s="5" t="s">
        <v>251</v>
      </c>
      <c r="B283" s="5" t="s">
        <v>57</v>
      </c>
      <c r="C283" s="5" t="s">
        <v>69</v>
      </c>
      <c r="D283" s="5" t="s">
        <v>43</v>
      </c>
      <c r="E283" s="5" t="s">
        <v>51</v>
      </c>
      <c r="F283" s="5" t="s">
        <v>52</v>
      </c>
      <c r="G283" s="5" t="n">
        <v>37211</v>
      </c>
      <c r="H283" s="5" t="s">
        <v>53</v>
      </c>
      <c r="I283" s="5" t="s">
        <v>47</v>
      </c>
      <c r="J283" s="5" t="s">
        <v>48</v>
      </c>
      <c r="K283" s="6" t="n">
        <v>156.88</v>
      </c>
      <c r="L283" s="5" t="n">
        <v>1</v>
      </c>
      <c r="M283" s="7" t="n">
        <v>0.4</v>
      </c>
      <c r="N283" s="6" t="n">
        <v>-18.8</v>
      </c>
    </row>
    <row r="284" customFormat="false" ht="15" hidden="false" customHeight="false" outlineLevel="0" collapsed="false">
      <c r="A284" s="5" t="s">
        <v>298</v>
      </c>
      <c r="B284" s="5" t="s">
        <v>57</v>
      </c>
      <c r="C284" s="5" t="s">
        <v>69</v>
      </c>
      <c r="D284" s="5" t="s">
        <v>43</v>
      </c>
      <c r="E284" s="5" t="s">
        <v>176</v>
      </c>
      <c r="F284" s="5" t="s">
        <v>177</v>
      </c>
      <c r="G284" s="5" t="n">
        <v>55407</v>
      </c>
      <c r="H284" s="5" t="s">
        <v>64</v>
      </c>
      <c r="I284" s="5" t="s">
        <v>47</v>
      </c>
      <c r="J284" s="5" t="s">
        <v>84</v>
      </c>
      <c r="K284" s="6" t="n">
        <v>226.1</v>
      </c>
      <c r="L284" s="5" t="n">
        <v>2</v>
      </c>
      <c r="M284" s="7" t="n">
        <v>0.1</v>
      </c>
      <c r="N284" s="6" t="n">
        <v>-9.86</v>
      </c>
    </row>
    <row r="285" customFormat="false" ht="15" hidden="false" customHeight="false" outlineLevel="0" collapsed="false">
      <c r="A285" s="5" t="s">
        <v>278</v>
      </c>
      <c r="B285" s="5" t="s">
        <v>68</v>
      </c>
      <c r="C285" s="5" t="s">
        <v>69</v>
      </c>
      <c r="D285" s="5" t="s">
        <v>43</v>
      </c>
      <c r="E285" s="5" t="s">
        <v>95</v>
      </c>
      <c r="F285" s="5" t="s">
        <v>96</v>
      </c>
      <c r="G285" s="5" t="n">
        <v>97206</v>
      </c>
      <c r="H285" s="5" t="s">
        <v>72</v>
      </c>
      <c r="I285" s="5" t="s">
        <v>65</v>
      </c>
      <c r="J285" s="5" t="s">
        <v>88</v>
      </c>
      <c r="K285" s="6" t="n">
        <v>31.72</v>
      </c>
      <c r="L285" s="5" t="n">
        <v>3</v>
      </c>
      <c r="M285" s="7" t="n">
        <v>0.3</v>
      </c>
      <c r="N285" s="6" t="n">
        <v>1.11</v>
      </c>
    </row>
    <row r="286" customFormat="false" ht="15" hidden="false" customHeight="false" outlineLevel="0" collapsed="false">
      <c r="A286" s="5" t="s">
        <v>102</v>
      </c>
      <c r="B286" s="5" t="s">
        <v>83</v>
      </c>
      <c r="C286" s="5" t="s">
        <v>50</v>
      </c>
      <c r="D286" s="5" t="s">
        <v>43</v>
      </c>
      <c r="E286" s="5" t="s">
        <v>62</v>
      </c>
      <c r="F286" s="5" t="s">
        <v>63</v>
      </c>
      <c r="G286" s="5" t="n">
        <v>77095</v>
      </c>
      <c r="H286" s="5" t="s">
        <v>64</v>
      </c>
      <c r="I286" s="5" t="s">
        <v>47</v>
      </c>
      <c r="J286" s="5" t="s">
        <v>84</v>
      </c>
      <c r="K286" s="6" t="n">
        <v>136.78</v>
      </c>
      <c r="L286" s="5" t="n">
        <v>7</v>
      </c>
      <c r="M286" s="7" t="n">
        <v>0.7</v>
      </c>
      <c r="N286" s="6" t="n">
        <v>-59.83</v>
      </c>
    </row>
    <row r="287" customFormat="false" ht="15" hidden="false" customHeight="false" outlineLevel="0" collapsed="false">
      <c r="A287" s="5" t="s">
        <v>279</v>
      </c>
      <c r="B287" s="5" t="s">
        <v>57</v>
      </c>
      <c r="C287" s="5" t="s">
        <v>50</v>
      </c>
      <c r="D287" s="5" t="s">
        <v>43</v>
      </c>
      <c r="E287" s="5" t="s">
        <v>79</v>
      </c>
      <c r="F287" s="5" t="s">
        <v>80</v>
      </c>
      <c r="G287" s="5" t="n">
        <v>2127</v>
      </c>
      <c r="H287" s="5" t="s">
        <v>46</v>
      </c>
      <c r="I287" s="5" t="s">
        <v>47</v>
      </c>
      <c r="J287" s="5" t="s">
        <v>60</v>
      </c>
      <c r="K287" s="6" t="n">
        <v>266.15</v>
      </c>
      <c r="L287" s="5" t="n">
        <v>7</v>
      </c>
      <c r="M287" s="7" t="n">
        <v>0.2</v>
      </c>
      <c r="N287" s="6" t="n">
        <v>-1.99</v>
      </c>
    </row>
    <row r="288" customFormat="false" ht="15" hidden="false" customHeight="false" outlineLevel="0" collapsed="false">
      <c r="A288" s="5" t="s">
        <v>305</v>
      </c>
      <c r="B288" s="5" t="s">
        <v>68</v>
      </c>
      <c r="C288" s="5" t="s">
        <v>42</v>
      </c>
      <c r="D288" s="5" t="s">
        <v>43</v>
      </c>
      <c r="E288" s="5" t="s">
        <v>95</v>
      </c>
      <c r="F288" s="5" t="s">
        <v>96</v>
      </c>
      <c r="G288" s="5" t="n">
        <v>97206</v>
      </c>
      <c r="H288" s="5" t="s">
        <v>72</v>
      </c>
      <c r="I288" s="5" t="s">
        <v>65</v>
      </c>
      <c r="J288" s="5" t="s">
        <v>66</v>
      </c>
      <c r="K288" s="6" t="n">
        <v>44.92</v>
      </c>
      <c r="L288" s="5" t="n">
        <v>8</v>
      </c>
      <c r="M288" s="7" t="n">
        <v>0</v>
      </c>
      <c r="N288" s="6" t="n">
        <v>11.35</v>
      </c>
    </row>
    <row r="289" customFormat="false" ht="15" hidden="false" customHeight="false" outlineLevel="0" collapsed="false">
      <c r="A289" s="5" t="s">
        <v>330</v>
      </c>
      <c r="B289" s="5" t="s">
        <v>83</v>
      </c>
      <c r="C289" s="5" t="s">
        <v>69</v>
      </c>
      <c r="D289" s="5" t="s">
        <v>43</v>
      </c>
      <c r="E289" s="5" t="s">
        <v>95</v>
      </c>
      <c r="F289" s="5" t="s">
        <v>96</v>
      </c>
      <c r="G289" s="5" t="n">
        <v>97206</v>
      </c>
      <c r="H289" s="5" t="s">
        <v>72</v>
      </c>
      <c r="I289" s="5" t="s">
        <v>54</v>
      </c>
      <c r="J289" s="5" t="s">
        <v>73</v>
      </c>
      <c r="K289" s="6" t="n">
        <v>205.17</v>
      </c>
      <c r="L289" s="5" t="n">
        <v>9</v>
      </c>
      <c r="M289" s="7" t="n">
        <v>0.7</v>
      </c>
      <c r="N289" s="6" t="n">
        <v>-27.4</v>
      </c>
    </row>
    <row r="290" customFormat="false" ht="15" hidden="false" customHeight="false" outlineLevel="0" collapsed="false">
      <c r="A290" s="5" t="s">
        <v>179</v>
      </c>
      <c r="B290" s="5" t="s">
        <v>57</v>
      </c>
      <c r="C290" s="5" t="s">
        <v>42</v>
      </c>
      <c r="D290" s="5" t="s">
        <v>43</v>
      </c>
      <c r="E290" s="5" t="s">
        <v>176</v>
      </c>
      <c r="F290" s="5" t="s">
        <v>177</v>
      </c>
      <c r="G290" s="5" t="n">
        <v>55407</v>
      </c>
      <c r="H290" s="5" t="s">
        <v>64</v>
      </c>
      <c r="I290" s="5" t="s">
        <v>54</v>
      </c>
      <c r="J290" s="5" t="s">
        <v>77</v>
      </c>
      <c r="K290" s="6" t="n">
        <v>276.13</v>
      </c>
      <c r="L290" s="5" t="n">
        <v>4</v>
      </c>
      <c r="M290" s="7" t="n">
        <v>0.2</v>
      </c>
      <c r="N290" s="6" t="n">
        <v>86.69</v>
      </c>
    </row>
    <row r="291" customFormat="false" ht="15" hidden="false" customHeight="false" outlineLevel="0" collapsed="false">
      <c r="A291" s="5" t="s">
        <v>217</v>
      </c>
      <c r="B291" s="5" t="s">
        <v>68</v>
      </c>
      <c r="C291" s="5" t="s">
        <v>42</v>
      </c>
      <c r="D291" s="5" t="s">
        <v>43</v>
      </c>
      <c r="E291" s="5" t="s">
        <v>79</v>
      </c>
      <c r="F291" s="5" t="s">
        <v>80</v>
      </c>
      <c r="G291" s="5" t="n">
        <v>2127</v>
      </c>
      <c r="H291" s="5" t="s">
        <v>46</v>
      </c>
      <c r="I291" s="5" t="s">
        <v>54</v>
      </c>
      <c r="J291" s="5" t="s">
        <v>55</v>
      </c>
      <c r="K291" s="6" t="n">
        <v>74.96</v>
      </c>
      <c r="L291" s="5" t="n">
        <v>4</v>
      </c>
      <c r="M291" s="7" t="n">
        <v>0</v>
      </c>
      <c r="N291" s="6" t="n">
        <v>32.21</v>
      </c>
    </row>
    <row r="292" customFormat="false" ht="15" hidden="false" customHeight="false" outlineLevel="0" collapsed="false">
      <c r="A292" s="5" t="s">
        <v>292</v>
      </c>
      <c r="B292" s="5" t="s">
        <v>83</v>
      </c>
      <c r="C292" s="5" t="s">
        <v>50</v>
      </c>
      <c r="D292" s="5" t="s">
        <v>43</v>
      </c>
      <c r="E292" s="5" t="s">
        <v>104</v>
      </c>
      <c r="F292" s="5" t="s">
        <v>105</v>
      </c>
      <c r="G292" s="5" t="n">
        <v>28205</v>
      </c>
      <c r="H292" s="5" t="s">
        <v>53</v>
      </c>
      <c r="I292" s="5" t="s">
        <v>54</v>
      </c>
      <c r="J292" s="5" t="s">
        <v>77</v>
      </c>
      <c r="K292" s="6" t="n">
        <v>223.63</v>
      </c>
      <c r="L292" s="5" t="n">
        <v>9</v>
      </c>
      <c r="M292" s="7" t="n">
        <v>0.15</v>
      </c>
      <c r="N292" s="6" t="n">
        <v>107.61</v>
      </c>
    </row>
    <row r="293" customFormat="false" ht="15" hidden="false" customHeight="false" outlineLevel="0" collapsed="false">
      <c r="A293" s="5" t="s">
        <v>395</v>
      </c>
      <c r="B293" s="5" t="s">
        <v>57</v>
      </c>
      <c r="C293" s="5" t="s">
        <v>50</v>
      </c>
      <c r="D293" s="5" t="s">
        <v>43</v>
      </c>
      <c r="E293" s="5" t="s">
        <v>100</v>
      </c>
      <c r="F293" s="5" t="s">
        <v>101</v>
      </c>
      <c r="G293" s="5" t="n">
        <v>19140</v>
      </c>
      <c r="H293" s="5" t="s">
        <v>46</v>
      </c>
      <c r="I293" s="5" t="s">
        <v>65</v>
      </c>
      <c r="J293" s="5" t="s">
        <v>133</v>
      </c>
      <c r="K293" s="6" t="n">
        <v>79.95</v>
      </c>
      <c r="L293" s="5" t="n">
        <v>3</v>
      </c>
      <c r="M293" s="7" t="n">
        <v>0.15</v>
      </c>
      <c r="N293" s="6" t="n">
        <v>20.31</v>
      </c>
    </row>
    <row r="294" customFormat="false" ht="15" hidden="false" customHeight="false" outlineLevel="0" collapsed="false">
      <c r="A294" s="5" t="s">
        <v>155</v>
      </c>
      <c r="B294" s="5" t="s">
        <v>83</v>
      </c>
      <c r="C294" s="5" t="s">
        <v>42</v>
      </c>
      <c r="D294" s="5" t="s">
        <v>43</v>
      </c>
      <c r="E294" s="5" t="s">
        <v>58</v>
      </c>
      <c r="F294" s="5" t="s">
        <v>59</v>
      </c>
      <c r="G294" s="5" t="n">
        <v>30318</v>
      </c>
      <c r="H294" s="5" t="s">
        <v>53</v>
      </c>
      <c r="I294" s="5" t="s">
        <v>54</v>
      </c>
      <c r="J294" s="5" t="s">
        <v>73</v>
      </c>
      <c r="K294" s="6" t="n">
        <v>106.14</v>
      </c>
      <c r="L294" s="5" t="n">
        <v>9</v>
      </c>
      <c r="M294" s="7" t="n">
        <v>0.5</v>
      </c>
      <c r="N294" s="6" t="n">
        <v>0.35</v>
      </c>
    </row>
    <row r="295" customFormat="false" ht="15" hidden="false" customHeight="false" outlineLevel="0" collapsed="false">
      <c r="A295" s="5" t="s">
        <v>249</v>
      </c>
      <c r="B295" s="5" t="s">
        <v>57</v>
      </c>
      <c r="C295" s="5" t="s">
        <v>50</v>
      </c>
      <c r="D295" s="5" t="s">
        <v>43</v>
      </c>
      <c r="E295" s="5" t="s">
        <v>107</v>
      </c>
      <c r="F295" s="5" t="s">
        <v>108</v>
      </c>
      <c r="G295" s="5" t="n">
        <v>7102</v>
      </c>
      <c r="H295" s="5" t="s">
        <v>46</v>
      </c>
      <c r="I295" s="5" t="s">
        <v>65</v>
      </c>
      <c r="J295" s="5" t="s">
        <v>124</v>
      </c>
      <c r="K295" s="6" t="n">
        <v>90.75</v>
      </c>
      <c r="L295" s="5" t="n">
        <v>4</v>
      </c>
      <c r="M295" s="7" t="n">
        <v>0</v>
      </c>
      <c r="N295" s="6" t="n">
        <v>29.86</v>
      </c>
    </row>
    <row r="296" customFormat="false" ht="15" hidden="false" customHeight="false" outlineLevel="0" collapsed="false">
      <c r="A296" s="5" t="s">
        <v>67</v>
      </c>
      <c r="B296" s="5" t="s">
        <v>68</v>
      </c>
      <c r="C296" s="5" t="s">
        <v>69</v>
      </c>
      <c r="D296" s="5" t="s">
        <v>43</v>
      </c>
      <c r="E296" s="5" t="s">
        <v>70</v>
      </c>
      <c r="F296" s="5" t="s">
        <v>71</v>
      </c>
      <c r="G296" s="5" t="n">
        <v>80219</v>
      </c>
      <c r="H296" s="5" t="s">
        <v>72</v>
      </c>
      <c r="I296" s="5" t="s">
        <v>54</v>
      </c>
      <c r="J296" s="5" t="s">
        <v>73</v>
      </c>
      <c r="K296" s="6" t="n">
        <v>54.35</v>
      </c>
      <c r="L296" s="5" t="n">
        <v>2</v>
      </c>
      <c r="M296" s="7" t="n">
        <v>0.7</v>
      </c>
      <c r="N296" s="6" t="n">
        <v>1.26</v>
      </c>
    </row>
    <row r="297" customFormat="false" ht="15" hidden="false" customHeight="false" outlineLevel="0" collapsed="false">
      <c r="A297" s="5" t="s">
        <v>233</v>
      </c>
      <c r="B297" s="5" t="s">
        <v>57</v>
      </c>
      <c r="C297" s="5" t="s">
        <v>50</v>
      </c>
      <c r="D297" s="5" t="s">
        <v>43</v>
      </c>
      <c r="E297" s="5" t="s">
        <v>91</v>
      </c>
      <c r="F297" s="5" t="s">
        <v>92</v>
      </c>
      <c r="G297" s="5" t="n">
        <v>33311</v>
      </c>
      <c r="H297" s="5" t="s">
        <v>53</v>
      </c>
      <c r="I297" s="5" t="s">
        <v>65</v>
      </c>
      <c r="J297" s="5" t="s">
        <v>81</v>
      </c>
      <c r="K297" s="6" t="n">
        <v>118.56</v>
      </c>
      <c r="L297" s="5" t="n">
        <v>3</v>
      </c>
      <c r="M297" s="7" t="n">
        <v>0.15</v>
      </c>
      <c r="N297" s="6" t="n">
        <v>17.19</v>
      </c>
    </row>
    <row r="298" customFormat="false" ht="15" hidden="false" customHeight="false" outlineLevel="0" collapsed="false">
      <c r="A298" s="5" t="s">
        <v>129</v>
      </c>
      <c r="B298" s="5" t="s">
        <v>68</v>
      </c>
      <c r="C298" s="5" t="s">
        <v>50</v>
      </c>
      <c r="D298" s="5" t="s">
        <v>43</v>
      </c>
      <c r="E298" s="5" t="s">
        <v>104</v>
      </c>
      <c r="F298" s="5" t="s">
        <v>105</v>
      </c>
      <c r="G298" s="5" t="n">
        <v>28205</v>
      </c>
      <c r="H298" s="5" t="s">
        <v>53</v>
      </c>
      <c r="I298" s="5" t="s">
        <v>47</v>
      </c>
      <c r="J298" s="5" t="s">
        <v>86</v>
      </c>
      <c r="K298" s="6" t="n">
        <v>39.21</v>
      </c>
      <c r="L298" s="5" t="n">
        <v>6</v>
      </c>
      <c r="M298" s="7" t="n">
        <v>0</v>
      </c>
      <c r="N298" s="6" t="n">
        <v>3.34</v>
      </c>
    </row>
    <row r="299" customFormat="false" ht="15" hidden="false" customHeight="false" outlineLevel="0" collapsed="false">
      <c r="A299" s="5" t="s">
        <v>183</v>
      </c>
      <c r="B299" s="5" t="s">
        <v>83</v>
      </c>
      <c r="C299" s="5" t="s">
        <v>69</v>
      </c>
      <c r="D299" s="5" t="s">
        <v>43</v>
      </c>
      <c r="E299" s="5" t="s">
        <v>107</v>
      </c>
      <c r="F299" s="5" t="s">
        <v>108</v>
      </c>
      <c r="G299" s="5" t="n">
        <v>7102</v>
      </c>
      <c r="H299" s="5" t="s">
        <v>46</v>
      </c>
      <c r="I299" s="5" t="s">
        <v>54</v>
      </c>
      <c r="J299" s="5" t="s">
        <v>93</v>
      </c>
      <c r="K299" s="6" t="n">
        <v>219.7</v>
      </c>
      <c r="L299" s="5" t="n">
        <v>4</v>
      </c>
      <c r="M299" s="7" t="n">
        <v>0.2</v>
      </c>
      <c r="N299" s="6" t="n">
        <v>74.19</v>
      </c>
    </row>
    <row r="300" customFormat="false" ht="15" hidden="false" customHeight="false" outlineLevel="0" collapsed="false">
      <c r="A300" s="5" t="s">
        <v>377</v>
      </c>
      <c r="B300" s="5" t="s">
        <v>41</v>
      </c>
      <c r="C300" s="5" t="s">
        <v>42</v>
      </c>
      <c r="D300" s="5" t="s">
        <v>43</v>
      </c>
      <c r="E300" s="5" t="s">
        <v>44</v>
      </c>
      <c r="F300" s="5" t="s">
        <v>45</v>
      </c>
      <c r="G300" s="5" t="n">
        <v>10011</v>
      </c>
      <c r="H300" s="5" t="s">
        <v>46</v>
      </c>
      <c r="I300" s="5" t="s">
        <v>65</v>
      </c>
      <c r="J300" s="5" t="s">
        <v>124</v>
      </c>
      <c r="K300" s="6" t="n">
        <v>33.92</v>
      </c>
      <c r="L300" s="5" t="n">
        <v>8</v>
      </c>
      <c r="M300" s="7" t="n">
        <v>0.1</v>
      </c>
      <c r="N300" s="6" t="n">
        <v>7.23</v>
      </c>
    </row>
    <row r="301" customFormat="false" ht="15" hidden="false" customHeight="false" outlineLevel="0" collapsed="false">
      <c r="A301" s="5" t="s">
        <v>360</v>
      </c>
      <c r="B301" s="5" t="s">
        <v>57</v>
      </c>
      <c r="C301" s="5" t="s">
        <v>42</v>
      </c>
      <c r="D301" s="5" t="s">
        <v>43</v>
      </c>
      <c r="E301" s="5" t="s">
        <v>114</v>
      </c>
      <c r="F301" s="5" t="s">
        <v>115</v>
      </c>
      <c r="G301" s="5" t="n">
        <v>90036</v>
      </c>
      <c r="H301" s="5" t="s">
        <v>72</v>
      </c>
      <c r="I301" s="5" t="s">
        <v>47</v>
      </c>
      <c r="J301" s="5" t="s">
        <v>84</v>
      </c>
      <c r="K301" s="6" t="n">
        <v>150.2</v>
      </c>
      <c r="L301" s="5" t="n">
        <v>9</v>
      </c>
      <c r="M301" s="7" t="n">
        <v>0.2</v>
      </c>
      <c r="N301" s="6" t="n">
        <v>-16.73</v>
      </c>
    </row>
  </sheetData>
  <autoFilter ref="A1:N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7"/>
  </cols>
  <sheetData>
    <row r="1" customFormat="false" ht="15" hidden="false" customHeight="false" outlineLevel="0" collapsed="false">
      <c r="A1" s="3" t="s">
        <v>33</v>
      </c>
      <c r="B1" s="3" t="s">
        <v>406</v>
      </c>
      <c r="C1" s="3" t="s">
        <v>407</v>
      </c>
      <c r="D1" s="3" t="s">
        <v>408</v>
      </c>
    </row>
    <row r="2" customFormat="false" ht="15" hidden="false" customHeight="false" outlineLevel="0" collapsed="false">
      <c r="A2" s="5" t="s">
        <v>64</v>
      </c>
      <c r="B2" s="9" t="n">
        <f aca="false">SUMIFS(T1_Cleaned!$K$2:$K$301,T1_Cleaned!$H$2:$H$301,A2)</f>
        <v>13023.56</v>
      </c>
      <c r="C2" s="9" t="n">
        <f aca="false">SUMIFS(T1_Cleaned!$N$2:$N$301,T1_Cleaned!$H$2:$H$301,A2)</f>
        <v>1645.23</v>
      </c>
      <c r="D2" s="10" t="n">
        <f aca="false">C2/B2</f>
        <v>0.126327210071593</v>
      </c>
    </row>
    <row r="3" customFormat="false" ht="15" hidden="false" customHeight="false" outlineLevel="0" collapsed="false">
      <c r="A3" s="5" t="s">
        <v>46</v>
      </c>
      <c r="B3" s="9" t="n">
        <f aca="false">SUMIFS(T1_Cleaned!$K$2:$K$301,T1_Cleaned!$H$2:$H$301,A3)</f>
        <v>9921.97</v>
      </c>
      <c r="C3" s="9" t="n">
        <f aca="false">SUMIFS(T1_Cleaned!$N$2:$N$301,T1_Cleaned!$H$2:$H$301,A3)</f>
        <v>1409.08</v>
      </c>
      <c r="D3" s="10" t="n">
        <f aca="false">C3/B3</f>
        <v>0.142016152034324</v>
      </c>
    </row>
    <row r="4" customFormat="false" ht="15" hidden="false" customHeight="false" outlineLevel="0" collapsed="false">
      <c r="A4" s="5" t="s">
        <v>53</v>
      </c>
      <c r="B4" s="9" t="n">
        <f aca="false">SUMIFS(T1_Cleaned!$K$2:$K$301,T1_Cleaned!$H$2:$H$301,A4)</f>
        <v>16879.42</v>
      </c>
      <c r="C4" s="9" t="n">
        <f aca="false">SUMIFS(T1_Cleaned!$N$2:$N$301,T1_Cleaned!$H$2:$H$301,A4)</f>
        <v>-1240.82</v>
      </c>
      <c r="D4" s="10" t="n">
        <f aca="false">C4/B4</f>
        <v>-0.0735108196845626</v>
      </c>
    </row>
    <row r="5" customFormat="false" ht="15" hidden="false" customHeight="false" outlineLevel="0" collapsed="false">
      <c r="A5" s="5" t="s">
        <v>72</v>
      </c>
      <c r="B5" s="9" t="n">
        <f aca="false">SUMIFS(T1_Cleaned!$K$2:$K$301,T1_Cleaned!$H$2:$H$301,A5)</f>
        <v>13387.39</v>
      </c>
      <c r="C5" s="9" t="n">
        <f aca="false">SUMIFS(T1_Cleaned!$N$2:$N$301,T1_Cleaned!$H$2:$H$301,A5)</f>
        <v>1632.33</v>
      </c>
      <c r="D5" s="10" t="n">
        <f aca="false">C5/B5</f>
        <v>0.121930413620579</v>
      </c>
    </row>
    <row r="6" customFormat="false" ht="15" hidden="false" customHeight="false" outlineLevel="0" collapsed="false">
      <c r="A6" s="11" t="s">
        <v>409</v>
      </c>
      <c r="B6" s="12" t="n">
        <f aca="false">SUM(B2:B5)</f>
        <v>53212.34</v>
      </c>
      <c r="C6" s="12" t="n">
        <f aca="false">SUM(C2:C5)</f>
        <v>3445.82</v>
      </c>
      <c r="D6" s="13" t="n">
        <f aca="false">C6/B6</f>
        <v>0.0647560321534441</v>
      </c>
    </row>
    <row r="8" customFormat="false" ht="15" hidden="false" customHeight="false" outlineLevel="0" collapsed="false">
      <c r="A8" s="14" t="str">
        <f aca="false">"Highest-profit region: "&amp;INDEX(A2:A5,MATCH(MAX(C2:C5),C2:C5,0))&amp;" ($ "&amp;TEXT(MAX(C2:C5),"#,##0")&amp;")"</f>
        <v>Highest-profit region: Central ($ 1,645)</v>
      </c>
    </row>
  </sheetData>
  <conditionalFormatting sqref="A2:D5">
    <cfRule type="expression" priority="2" aboveAverage="0" equalAverage="0" bottom="0" percent="0" rank="0" text="" dxfId="4">
      <formula>$C2=MAX($C$2:$C$5)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4" min="12" style="0" width="11"/>
    <col collapsed="false" customWidth="true" hidden="false" outlineLevel="0" max="16" min="16" style="0" width="42"/>
    <col collapsed="false" customWidth="true" hidden="false" outlineLevel="0" max="17" min="17" style="0" width="17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P1" s="8" t="s">
        <v>410</v>
      </c>
      <c r="Q1" s="8" t="n">
        <f aca="false">COUNTIFS(M2:M301,"&gt;0.2",N2:N301,"&lt;0")</f>
        <v>39</v>
      </c>
    </row>
    <row r="2" customFormat="false" ht="15" hidden="false" customHeight="false" outlineLevel="0" collapsed="false">
      <c r="A2" s="5" t="s">
        <v>97</v>
      </c>
      <c r="B2" s="5" t="s">
        <v>68</v>
      </c>
      <c r="C2" s="5" t="s">
        <v>42</v>
      </c>
      <c r="D2" s="5" t="s">
        <v>43</v>
      </c>
      <c r="E2" s="5" t="s">
        <v>44</v>
      </c>
      <c r="F2" s="5" t="s">
        <v>45</v>
      </c>
      <c r="G2" s="5" t="n">
        <v>10011</v>
      </c>
      <c r="H2" s="5" t="s">
        <v>46</v>
      </c>
      <c r="I2" s="5" t="s">
        <v>54</v>
      </c>
      <c r="J2" s="5" t="s">
        <v>73</v>
      </c>
      <c r="K2" s="6" t="n">
        <v>108.53</v>
      </c>
      <c r="L2" s="5" t="n">
        <v>5</v>
      </c>
      <c r="M2" s="7" t="n">
        <v>0.2</v>
      </c>
      <c r="N2" s="6" t="n">
        <v>30.01</v>
      </c>
      <c r="P2" s="8" t="s">
        <v>411</v>
      </c>
      <c r="Q2" s="13" t="n">
        <f aca="false">Q1/COUNTA(A2:A301)</f>
        <v>0.13</v>
      </c>
    </row>
    <row r="3" customFormat="false" ht="15" hidden="false" customHeight="false" outlineLevel="0" collapsed="false">
      <c r="A3" s="5" t="s">
        <v>352</v>
      </c>
      <c r="B3" s="5" t="s">
        <v>68</v>
      </c>
      <c r="C3" s="5" t="s">
        <v>69</v>
      </c>
      <c r="D3" s="5" t="s">
        <v>43</v>
      </c>
      <c r="E3" s="5" t="s">
        <v>104</v>
      </c>
      <c r="F3" s="5" t="s">
        <v>105</v>
      </c>
      <c r="G3" s="5" t="n">
        <v>28205</v>
      </c>
      <c r="H3" s="5" t="s">
        <v>53</v>
      </c>
      <c r="I3" s="5" t="s">
        <v>47</v>
      </c>
      <c r="J3" s="5" t="s">
        <v>60</v>
      </c>
      <c r="K3" s="6" t="n">
        <v>114.86</v>
      </c>
      <c r="L3" s="5" t="n">
        <v>4</v>
      </c>
      <c r="M3" s="7" t="n">
        <v>0</v>
      </c>
      <c r="N3" s="6" t="n">
        <v>22.81</v>
      </c>
    </row>
    <row r="4" customFormat="false" ht="15" hidden="false" customHeight="false" outlineLevel="0" collapsed="false">
      <c r="A4" s="5" t="s">
        <v>166</v>
      </c>
      <c r="B4" s="5" t="s">
        <v>41</v>
      </c>
      <c r="C4" s="5" t="s">
        <v>42</v>
      </c>
      <c r="D4" s="5" t="s">
        <v>43</v>
      </c>
      <c r="E4" s="5" t="s">
        <v>79</v>
      </c>
      <c r="F4" s="5" t="s">
        <v>80</v>
      </c>
      <c r="G4" s="5" t="n">
        <v>2127</v>
      </c>
      <c r="H4" s="5" t="s">
        <v>46</v>
      </c>
      <c r="I4" s="5" t="s">
        <v>54</v>
      </c>
      <c r="J4" s="5" t="s">
        <v>93</v>
      </c>
      <c r="K4" s="6" t="n">
        <v>325.84</v>
      </c>
      <c r="L4" s="5" t="n">
        <v>7</v>
      </c>
      <c r="M4" s="7" t="n">
        <v>0.7</v>
      </c>
      <c r="N4" s="6" t="n">
        <v>11.02</v>
      </c>
    </row>
    <row r="5" customFormat="false" ht="15" hidden="false" customHeight="false" outlineLevel="0" collapsed="false">
      <c r="A5" s="5" t="s">
        <v>382</v>
      </c>
      <c r="B5" s="5" t="s">
        <v>83</v>
      </c>
      <c r="C5" s="5" t="s">
        <v>50</v>
      </c>
      <c r="D5" s="5" t="s">
        <v>43</v>
      </c>
      <c r="E5" s="5" t="s">
        <v>107</v>
      </c>
      <c r="F5" s="5" t="s">
        <v>108</v>
      </c>
      <c r="G5" s="5" t="n">
        <v>7102</v>
      </c>
      <c r="H5" s="5" t="s">
        <v>46</v>
      </c>
      <c r="I5" s="5" t="s">
        <v>54</v>
      </c>
      <c r="J5" s="5" t="s">
        <v>55</v>
      </c>
      <c r="K5" s="6" t="n">
        <v>202.43</v>
      </c>
      <c r="L5" s="5" t="n">
        <v>2</v>
      </c>
      <c r="M5" s="7" t="n">
        <v>0.1</v>
      </c>
      <c r="N5" s="6" t="n">
        <v>67.61</v>
      </c>
    </row>
    <row r="6" customFormat="false" ht="15" hidden="false" customHeight="false" outlineLevel="0" collapsed="false">
      <c r="A6" s="5" t="s">
        <v>215</v>
      </c>
      <c r="B6" s="5" t="s">
        <v>57</v>
      </c>
      <c r="C6" s="5" t="s">
        <v>69</v>
      </c>
      <c r="D6" s="5" t="s">
        <v>43</v>
      </c>
      <c r="E6" s="5" t="s">
        <v>176</v>
      </c>
      <c r="F6" s="5" t="s">
        <v>177</v>
      </c>
      <c r="G6" s="5" t="n">
        <v>55407</v>
      </c>
      <c r="H6" s="5" t="s">
        <v>64</v>
      </c>
      <c r="I6" s="5" t="s">
        <v>54</v>
      </c>
      <c r="J6" s="5" t="s">
        <v>73</v>
      </c>
      <c r="K6" s="6" t="n">
        <v>177.32</v>
      </c>
      <c r="L6" s="5" t="n">
        <v>7</v>
      </c>
      <c r="M6" s="7" t="n">
        <v>0</v>
      </c>
      <c r="N6" s="6" t="n">
        <v>-39.06</v>
      </c>
    </row>
    <row r="7" customFormat="false" ht="15" hidden="false" customHeight="false" outlineLevel="0" collapsed="false">
      <c r="A7" s="5" t="s">
        <v>186</v>
      </c>
      <c r="B7" s="5" t="s">
        <v>57</v>
      </c>
      <c r="C7" s="5" t="s">
        <v>69</v>
      </c>
      <c r="D7" s="5" t="s">
        <v>43</v>
      </c>
      <c r="E7" s="5" t="s">
        <v>91</v>
      </c>
      <c r="F7" s="5" t="s">
        <v>92</v>
      </c>
      <c r="G7" s="5" t="n">
        <v>33311</v>
      </c>
      <c r="H7" s="5" t="s">
        <v>53</v>
      </c>
      <c r="I7" s="5" t="s">
        <v>54</v>
      </c>
      <c r="J7" s="5" t="s">
        <v>93</v>
      </c>
      <c r="K7" s="6" t="n">
        <v>200.02</v>
      </c>
      <c r="L7" s="5" t="n">
        <v>8</v>
      </c>
      <c r="M7" s="7" t="n">
        <v>0.15</v>
      </c>
      <c r="N7" s="6" t="n">
        <v>90.71</v>
      </c>
    </row>
    <row r="8" customFormat="false" ht="15" hidden="false" customHeight="false" outlineLevel="0" collapsed="false">
      <c r="A8" s="5" t="s">
        <v>226</v>
      </c>
      <c r="B8" s="5" t="s">
        <v>41</v>
      </c>
      <c r="C8" s="5" t="s">
        <v>69</v>
      </c>
      <c r="D8" s="5" t="s">
        <v>43</v>
      </c>
      <c r="E8" s="5" t="s">
        <v>107</v>
      </c>
      <c r="F8" s="5" t="s">
        <v>108</v>
      </c>
      <c r="G8" s="5" t="n">
        <v>7102</v>
      </c>
      <c r="H8" s="5" t="s">
        <v>46</v>
      </c>
      <c r="I8" s="5" t="s">
        <v>47</v>
      </c>
      <c r="J8" s="5" t="s">
        <v>84</v>
      </c>
      <c r="K8" s="6" t="n">
        <v>108.24</v>
      </c>
      <c r="L8" s="5" t="n">
        <v>2</v>
      </c>
      <c r="M8" s="7" t="n">
        <v>0.5</v>
      </c>
      <c r="N8" s="6" t="n">
        <v>-33.24</v>
      </c>
    </row>
    <row r="9" customFormat="false" ht="15" hidden="false" customHeight="false" outlineLevel="0" collapsed="false">
      <c r="A9" s="5" t="s">
        <v>276</v>
      </c>
      <c r="B9" s="5" t="s">
        <v>83</v>
      </c>
      <c r="C9" s="5" t="s">
        <v>69</v>
      </c>
      <c r="D9" s="5" t="s">
        <v>43</v>
      </c>
      <c r="E9" s="5" t="s">
        <v>51</v>
      </c>
      <c r="F9" s="5" t="s">
        <v>52</v>
      </c>
      <c r="G9" s="5" t="n">
        <v>37211</v>
      </c>
      <c r="H9" s="5" t="s">
        <v>53</v>
      </c>
      <c r="I9" s="5" t="s">
        <v>65</v>
      </c>
      <c r="J9" s="5" t="s">
        <v>138</v>
      </c>
      <c r="K9" s="6" t="n">
        <v>44.65</v>
      </c>
      <c r="L9" s="5" t="n">
        <v>6</v>
      </c>
      <c r="M9" s="7" t="n">
        <v>0.7</v>
      </c>
      <c r="N9" s="6" t="n">
        <v>-6.72</v>
      </c>
    </row>
    <row r="10" customFormat="false" ht="15" hidden="false" customHeight="false" outlineLevel="0" collapsed="false">
      <c r="A10" s="5" t="s">
        <v>398</v>
      </c>
      <c r="B10" s="5" t="s">
        <v>57</v>
      </c>
      <c r="C10" s="5" t="s">
        <v>69</v>
      </c>
      <c r="D10" s="5" t="s">
        <v>43</v>
      </c>
      <c r="E10" s="5" t="s">
        <v>112</v>
      </c>
      <c r="F10" s="5" t="s">
        <v>63</v>
      </c>
      <c r="G10" s="5" t="n">
        <v>75217</v>
      </c>
      <c r="H10" s="5" t="s">
        <v>64</v>
      </c>
      <c r="I10" s="5" t="s">
        <v>47</v>
      </c>
      <c r="J10" s="5" t="s">
        <v>84</v>
      </c>
      <c r="K10" s="6" t="n">
        <v>51.79</v>
      </c>
      <c r="L10" s="5" t="n">
        <v>9</v>
      </c>
      <c r="M10" s="7" t="n">
        <v>0.7</v>
      </c>
      <c r="N10" s="6" t="n">
        <v>-18.89</v>
      </c>
    </row>
    <row r="11" customFormat="false" ht="15" hidden="false" customHeight="false" outlineLevel="0" collapsed="false">
      <c r="A11" s="5" t="s">
        <v>254</v>
      </c>
      <c r="B11" s="5" t="s">
        <v>57</v>
      </c>
      <c r="C11" s="5" t="s">
        <v>69</v>
      </c>
      <c r="D11" s="5" t="s">
        <v>43</v>
      </c>
      <c r="E11" s="5" t="s">
        <v>91</v>
      </c>
      <c r="F11" s="5" t="s">
        <v>92</v>
      </c>
      <c r="G11" s="5" t="n">
        <v>33311</v>
      </c>
      <c r="H11" s="5" t="s">
        <v>53</v>
      </c>
      <c r="I11" s="5" t="s">
        <v>47</v>
      </c>
      <c r="J11" s="5" t="s">
        <v>60</v>
      </c>
      <c r="K11" s="6" t="n">
        <v>81.28</v>
      </c>
      <c r="L11" s="5" t="n">
        <v>4</v>
      </c>
      <c r="M11" s="7" t="n">
        <v>0.4</v>
      </c>
      <c r="N11" s="6" t="n">
        <v>-8.02</v>
      </c>
    </row>
    <row r="12" customFormat="false" ht="15" hidden="false" customHeight="false" outlineLevel="0" collapsed="false">
      <c r="A12" s="5" t="s">
        <v>375</v>
      </c>
      <c r="B12" s="5" t="s">
        <v>68</v>
      </c>
      <c r="C12" s="5" t="s">
        <v>50</v>
      </c>
      <c r="D12" s="5" t="s">
        <v>43</v>
      </c>
      <c r="E12" s="5" t="s">
        <v>100</v>
      </c>
      <c r="F12" s="5" t="s">
        <v>101</v>
      </c>
      <c r="G12" s="5" t="n">
        <v>19140</v>
      </c>
      <c r="H12" s="5" t="s">
        <v>46</v>
      </c>
      <c r="I12" s="5" t="s">
        <v>65</v>
      </c>
      <c r="J12" s="5" t="s">
        <v>124</v>
      </c>
      <c r="K12" s="6" t="n">
        <v>53.1</v>
      </c>
      <c r="L12" s="5" t="n">
        <v>3</v>
      </c>
      <c r="M12" s="7" t="n">
        <v>0</v>
      </c>
      <c r="N12" s="6" t="n">
        <v>19.58</v>
      </c>
    </row>
    <row r="13" customFormat="false" ht="15" hidden="false" customHeight="false" outlineLevel="0" collapsed="false">
      <c r="A13" s="5" t="s">
        <v>245</v>
      </c>
      <c r="B13" s="5" t="s">
        <v>83</v>
      </c>
      <c r="C13" s="5" t="s">
        <v>69</v>
      </c>
      <c r="D13" s="5" t="s">
        <v>43</v>
      </c>
      <c r="E13" s="5" t="s">
        <v>79</v>
      </c>
      <c r="F13" s="5" t="s">
        <v>80</v>
      </c>
      <c r="G13" s="5" t="n">
        <v>2127</v>
      </c>
      <c r="H13" s="5" t="s">
        <v>46</v>
      </c>
      <c r="I13" s="5" t="s">
        <v>47</v>
      </c>
      <c r="J13" s="5" t="s">
        <v>48</v>
      </c>
      <c r="K13" s="6" t="n">
        <v>566.33</v>
      </c>
      <c r="L13" s="5" t="n">
        <v>6</v>
      </c>
      <c r="M13" s="7" t="n">
        <v>0</v>
      </c>
      <c r="N13" s="6" t="n">
        <v>45.79</v>
      </c>
    </row>
    <row r="14" customFormat="false" ht="15" hidden="false" customHeight="false" outlineLevel="0" collapsed="false">
      <c r="A14" s="5" t="s">
        <v>235</v>
      </c>
      <c r="B14" s="5" t="s">
        <v>57</v>
      </c>
      <c r="C14" s="5" t="s">
        <v>50</v>
      </c>
      <c r="D14" s="5" t="s">
        <v>43</v>
      </c>
      <c r="E14" s="5" t="s">
        <v>95</v>
      </c>
      <c r="F14" s="5" t="s">
        <v>96</v>
      </c>
      <c r="G14" s="5" t="n">
        <v>97206</v>
      </c>
      <c r="H14" s="5" t="s">
        <v>72</v>
      </c>
      <c r="I14" s="5" t="s">
        <v>65</v>
      </c>
      <c r="J14" s="5" t="s">
        <v>66</v>
      </c>
      <c r="K14" s="6" t="n">
        <v>678.03</v>
      </c>
      <c r="L14" s="5" t="n">
        <v>7</v>
      </c>
      <c r="M14" s="7" t="n">
        <v>0.7</v>
      </c>
      <c r="N14" s="6" t="n">
        <v>-126.57</v>
      </c>
    </row>
    <row r="15" customFormat="false" ht="15" hidden="false" customHeight="false" outlineLevel="0" collapsed="false">
      <c r="A15" s="5" t="s">
        <v>228</v>
      </c>
      <c r="B15" s="5" t="s">
        <v>68</v>
      </c>
      <c r="C15" s="5" t="s">
        <v>42</v>
      </c>
      <c r="D15" s="5" t="s">
        <v>43</v>
      </c>
      <c r="E15" s="5" t="s">
        <v>95</v>
      </c>
      <c r="F15" s="5" t="s">
        <v>96</v>
      </c>
      <c r="G15" s="5" t="n">
        <v>97206</v>
      </c>
      <c r="H15" s="5" t="s">
        <v>72</v>
      </c>
      <c r="I15" s="5" t="s">
        <v>65</v>
      </c>
      <c r="J15" s="5" t="s">
        <v>109</v>
      </c>
      <c r="K15" s="6" t="n">
        <v>64.73</v>
      </c>
      <c r="L15" s="5" t="n">
        <v>3</v>
      </c>
      <c r="M15" s="7" t="n">
        <v>0</v>
      </c>
      <c r="N15" s="6" t="n">
        <v>16.47</v>
      </c>
    </row>
    <row r="16" customFormat="false" ht="15" hidden="false" customHeight="false" outlineLevel="0" collapsed="false">
      <c r="A16" s="5" t="s">
        <v>253</v>
      </c>
      <c r="B16" s="5" t="s">
        <v>41</v>
      </c>
      <c r="C16" s="5" t="s">
        <v>69</v>
      </c>
      <c r="D16" s="5" t="s">
        <v>43</v>
      </c>
      <c r="E16" s="5" t="s">
        <v>91</v>
      </c>
      <c r="F16" s="5" t="s">
        <v>92</v>
      </c>
      <c r="G16" s="5" t="n">
        <v>33311</v>
      </c>
      <c r="H16" s="5" t="s">
        <v>53</v>
      </c>
      <c r="I16" s="5" t="s">
        <v>47</v>
      </c>
      <c r="J16" s="5" t="s">
        <v>60</v>
      </c>
      <c r="K16" s="6" t="n">
        <v>200.22</v>
      </c>
      <c r="L16" s="5" t="n">
        <v>2</v>
      </c>
      <c r="M16" s="7" t="n">
        <v>0.3</v>
      </c>
      <c r="N16" s="6" t="n">
        <v>-0.38</v>
      </c>
    </row>
    <row r="17" customFormat="false" ht="15" hidden="false" customHeight="false" outlineLevel="0" collapsed="false">
      <c r="A17" s="5" t="s">
        <v>213</v>
      </c>
      <c r="B17" s="5" t="s">
        <v>57</v>
      </c>
      <c r="C17" s="5" t="s">
        <v>50</v>
      </c>
      <c r="D17" s="5" t="s">
        <v>43</v>
      </c>
      <c r="E17" s="5" t="s">
        <v>104</v>
      </c>
      <c r="F17" s="5" t="s">
        <v>105</v>
      </c>
      <c r="G17" s="5" t="n">
        <v>28205</v>
      </c>
      <c r="H17" s="5" t="s">
        <v>53</v>
      </c>
      <c r="I17" s="5" t="s">
        <v>47</v>
      </c>
      <c r="J17" s="5" t="s">
        <v>86</v>
      </c>
      <c r="K17" s="6" t="n">
        <v>361.38</v>
      </c>
      <c r="L17" s="5" t="n">
        <v>5</v>
      </c>
      <c r="M17" s="7" t="n">
        <v>0.3</v>
      </c>
      <c r="N17" s="6" t="n">
        <v>-44.12</v>
      </c>
    </row>
    <row r="18" customFormat="false" ht="15" hidden="false" customHeight="false" outlineLevel="0" collapsed="false">
      <c r="A18" s="5" t="s">
        <v>324</v>
      </c>
      <c r="B18" s="5" t="s">
        <v>83</v>
      </c>
      <c r="C18" s="5" t="s">
        <v>50</v>
      </c>
      <c r="D18" s="5" t="s">
        <v>43</v>
      </c>
      <c r="E18" s="5" t="s">
        <v>91</v>
      </c>
      <c r="F18" s="5" t="s">
        <v>92</v>
      </c>
      <c r="G18" s="5" t="n">
        <v>33311</v>
      </c>
      <c r="H18" s="5" t="s">
        <v>53</v>
      </c>
      <c r="I18" s="5" t="s">
        <v>54</v>
      </c>
      <c r="J18" s="5" t="s">
        <v>93</v>
      </c>
      <c r="K18" s="6" t="n">
        <v>202.26</v>
      </c>
      <c r="L18" s="5" t="n">
        <v>2</v>
      </c>
      <c r="M18" s="7" t="n">
        <v>0</v>
      </c>
      <c r="N18" s="6" t="n">
        <v>97.8</v>
      </c>
    </row>
    <row r="19" customFormat="false" ht="15" hidden="false" customHeight="false" outlineLevel="0" collapsed="false">
      <c r="A19" s="5" t="s">
        <v>202</v>
      </c>
      <c r="B19" s="5" t="s">
        <v>68</v>
      </c>
      <c r="C19" s="5" t="s">
        <v>69</v>
      </c>
      <c r="D19" s="5" t="s">
        <v>43</v>
      </c>
      <c r="E19" s="5" t="s">
        <v>95</v>
      </c>
      <c r="F19" s="5" t="s">
        <v>96</v>
      </c>
      <c r="G19" s="5" t="n">
        <v>97206</v>
      </c>
      <c r="H19" s="5" t="s">
        <v>72</v>
      </c>
      <c r="I19" s="5" t="s">
        <v>47</v>
      </c>
      <c r="J19" s="5" t="s">
        <v>48</v>
      </c>
      <c r="K19" s="6" t="n">
        <v>122.56</v>
      </c>
      <c r="L19" s="5" t="n">
        <v>8</v>
      </c>
      <c r="M19" s="7" t="n">
        <v>0.15</v>
      </c>
      <c r="N19" s="6" t="n">
        <v>-3.69</v>
      </c>
    </row>
    <row r="20" customFormat="false" ht="15" hidden="false" customHeight="false" outlineLevel="0" collapsed="false">
      <c r="A20" s="5" t="s">
        <v>317</v>
      </c>
      <c r="B20" s="5" t="s">
        <v>68</v>
      </c>
      <c r="C20" s="5" t="s">
        <v>42</v>
      </c>
      <c r="D20" s="5" t="s">
        <v>43</v>
      </c>
      <c r="E20" s="5" t="s">
        <v>75</v>
      </c>
      <c r="F20" s="5" t="s">
        <v>76</v>
      </c>
      <c r="G20" s="5" t="n">
        <v>60610</v>
      </c>
      <c r="H20" s="5" t="s">
        <v>64</v>
      </c>
      <c r="I20" s="5" t="s">
        <v>54</v>
      </c>
      <c r="J20" s="5" t="s">
        <v>73</v>
      </c>
      <c r="K20" s="6" t="n">
        <v>428.13</v>
      </c>
      <c r="L20" s="5" t="n">
        <v>4</v>
      </c>
      <c r="M20" s="7" t="n">
        <v>0</v>
      </c>
      <c r="N20" s="6" t="n">
        <v>146.83</v>
      </c>
    </row>
    <row r="21" customFormat="false" ht="15" hidden="false" customHeight="false" outlineLevel="0" collapsed="false">
      <c r="A21" s="5" t="s">
        <v>264</v>
      </c>
      <c r="B21" s="5" t="s">
        <v>83</v>
      </c>
      <c r="C21" s="5" t="s">
        <v>50</v>
      </c>
      <c r="D21" s="5" t="s">
        <v>43</v>
      </c>
      <c r="E21" s="5" t="s">
        <v>176</v>
      </c>
      <c r="F21" s="5" t="s">
        <v>177</v>
      </c>
      <c r="G21" s="5" t="n">
        <v>55407</v>
      </c>
      <c r="H21" s="5" t="s">
        <v>64</v>
      </c>
      <c r="I21" s="5" t="s">
        <v>47</v>
      </c>
      <c r="J21" s="5" t="s">
        <v>60</v>
      </c>
      <c r="K21" s="6" t="n">
        <v>102.09</v>
      </c>
      <c r="L21" s="5" t="n">
        <v>1</v>
      </c>
      <c r="M21" s="7" t="n">
        <v>0.1</v>
      </c>
      <c r="N21" s="6" t="n">
        <v>12.86</v>
      </c>
    </row>
    <row r="22" customFormat="false" ht="15" hidden="false" customHeight="false" outlineLevel="0" collapsed="false">
      <c r="A22" s="5" t="s">
        <v>147</v>
      </c>
      <c r="B22" s="5" t="s">
        <v>41</v>
      </c>
      <c r="C22" s="5" t="s">
        <v>50</v>
      </c>
      <c r="D22" s="5" t="s">
        <v>43</v>
      </c>
      <c r="E22" s="5" t="s">
        <v>100</v>
      </c>
      <c r="F22" s="5" t="s">
        <v>101</v>
      </c>
      <c r="G22" s="5" t="n">
        <v>19140</v>
      </c>
      <c r="H22" s="5" t="s">
        <v>46</v>
      </c>
      <c r="I22" s="5" t="s">
        <v>47</v>
      </c>
      <c r="J22" s="5" t="s">
        <v>48</v>
      </c>
      <c r="K22" s="6" t="n">
        <v>278.77</v>
      </c>
      <c r="L22" s="5" t="n">
        <v>3</v>
      </c>
      <c r="M22" s="7" t="n">
        <v>0</v>
      </c>
      <c r="N22" s="6" t="n">
        <v>25.13</v>
      </c>
    </row>
    <row r="23" customFormat="false" ht="15" hidden="false" customHeight="false" outlineLevel="0" collapsed="false">
      <c r="A23" s="5" t="s">
        <v>232</v>
      </c>
      <c r="B23" s="5" t="s">
        <v>68</v>
      </c>
      <c r="C23" s="5" t="s">
        <v>42</v>
      </c>
      <c r="D23" s="5" t="s">
        <v>43</v>
      </c>
      <c r="E23" s="5" t="s">
        <v>70</v>
      </c>
      <c r="F23" s="5" t="s">
        <v>71</v>
      </c>
      <c r="G23" s="5" t="n">
        <v>80219</v>
      </c>
      <c r="H23" s="5" t="s">
        <v>72</v>
      </c>
      <c r="I23" s="5" t="s">
        <v>54</v>
      </c>
      <c r="J23" s="5" t="s">
        <v>73</v>
      </c>
      <c r="K23" s="6" t="n">
        <v>93.2</v>
      </c>
      <c r="L23" s="5" t="n">
        <v>6</v>
      </c>
      <c r="M23" s="7" t="n">
        <v>0.2</v>
      </c>
      <c r="N23" s="6" t="n">
        <v>-11.54</v>
      </c>
    </row>
    <row r="24" customFormat="false" ht="15" hidden="false" customHeight="false" outlineLevel="0" collapsed="false">
      <c r="A24" s="5" t="s">
        <v>359</v>
      </c>
      <c r="B24" s="5" t="s">
        <v>41</v>
      </c>
      <c r="C24" s="5" t="s">
        <v>50</v>
      </c>
      <c r="D24" s="5" t="s">
        <v>43</v>
      </c>
      <c r="E24" s="5" t="s">
        <v>176</v>
      </c>
      <c r="F24" s="5" t="s">
        <v>177</v>
      </c>
      <c r="G24" s="5" t="n">
        <v>55407</v>
      </c>
      <c r="H24" s="5" t="s">
        <v>64</v>
      </c>
      <c r="I24" s="5" t="s">
        <v>65</v>
      </c>
      <c r="J24" s="5" t="s">
        <v>138</v>
      </c>
      <c r="K24" s="6" t="n">
        <v>102.37</v>
      </c>
      <c r="L24" s="5" t="n">
        <v>3</v>
      </c>
      <c r="M24" s="7" t="n">
        <v>0.15</v>
      </c>
      <c r="N24" s="6" t="n">
        <v>16.51</v>
      </c>
    </row>
    <row r="25" customFormat="false" ht="15" hidden="false" customHeight="false" outlineLevel="0" collapsed="false">
      <c r="A25" s="5" t="s">
        <v>307</v>
      </c>
      <c r="B25" s="5" t="s">
        <v>41</v>
      </c>
      <c r="C25" s="5" t="s">
        <v>42</v>
      </c>
      <c r="D25" s="5" t="s">
        <v>43</v>
      </c>
      <c r="E25" s="5" t="s">
        <v>91</v>
      </c>
      <c r="F25" s="5" t="s">
        <v>92</v>
      </c>
      <c r="G25" s="5" t="n">
        <v>33311</v>
      </c>
      <c r="H25" s="5" t="s">
        <v>53</v>
      </c>
      <c r="I25" s="5" t="s">
        <v>47</v>
      </c>
      <c r="J25" s="5" t="s">
        <v>84</v>
      </c>
      <c r="K25" s="6" t="n">
        <v>257.91</v>
      </c>
      <c r="L25" s="5" t="n">
        <v>3</v>
      </c>
      <c r="M25" s="7" t="n">
        <v>0</v>
      </c>
      <c r="N25" s="6" t="n">
        <v>4.21</v>
      </c>
    </row>
    <row r="26" customFormat="false" ht="15" hidden="false" customHeight="false" outlineLevel="0" collapsed="false">
      <c r="A26" s="5" t="s">
        <v>261</v>
      </c>
      <c r="B26" s="5" t="s">
        <v>68</v>
      </c>
      <c r="C26" s="5" t="s">
        <v>69</v>
      </c>
      <c r="D26" s="5" t="s">
        <v>43</v>
      </c>
      <c r="E26" s="5" t="s">
        <v>112</v>
      </c>
      <c r="F26" s="5" t="s">
        <v>63</v>
      </c>
      <c r="G26" s="5" t="n">
        <v>75217</v>
      </c>
      <c r="H26" s="5" t="s">
        <v>64</v>
      </c>
      <c r="I26" s="5" t="s">
        <v>47</v>
      </c>
      <c r="J26" s="5" t="s">
        <v>84</v>
      </c>
      <c r="K26" s="6" t="n">
        <v>78.26</v>
      </c>
      <c r="L26" s="5" t="n">
        <v>3</v>
      </c>
      <c r="M26" s="7" t="n">
        <v>0.1</v>
      </c>
      <c r="N26" s="6" t="n">
        <v>-6.92</v>
      </c>
    </row>
    <row r="27" customFormat="false" ht="15" hidden="false" customHeight="false" outlineLevel="0" collapsed="false">
      <c r="A27" s="5" t="s">
        <v>143</v>
      </c>
      <c r="B27" s="5" t="s">
        <v>83</v>
      </c>
      <c r="C27" s="5" t="s">
        <v>50</v>
      </c>
      <c r="D27" s="5" t="s">
        <v>43</v>
      </c>
      <c r="E27" s="5" t="s">
        <v>62</v>
      </c>
      <c r="F27" s="5" t="s">
        <v>63</v>
      </c>
      <c r="G27" s="5" t="n">
        <v>77095</v>
      </c>
      <c r="H27" s="5" t="s">
        <v>64</v>
      </c>
      <c r="I27" s="5" t="s">
        <v>47</v>
      </c>
      <c r="J27" s="5" t="s">
        <v>84</v>
      </c>
      <c r="K27" s="6" t="n">
        <v>171.24</v>
      </c>
      <c r="L27" s="5" t="n">
        <v>6</v>
      </c>
      <c r="M27" s="7" t="n">
        <v>0.7</v>
      </c>
      <c r="N27" s="6" t="n">
        <v>25.15</v>
      </c>
    </row>
    <row r="28" customFormat="false" ht="15" hidden="false" customHeight="false" outlineLevel="0" collapsed="false">
      <c r="A28" s="5" t="s">
        <v>345</v>
      </c>
      <c r="B28" s="5" t="s">
        <v>41</v>
      </c>
      <c r="C28" s="5" t="s">
        <v>42</v>
      </c>
      <c r="D28" s="5" t="s">
        <v>43</v>
      </c>
      <c r="E28" s="5" t="s">
        <v>112</v>
      </c>
      <c r="F28" s="5" t="s">
        <v>63</v>
      </c>
      <c r="G28" s="5" t="n">
        <v>75217</v>
      </c>
      <c r="H28" s="5" t="s">
        <v>64</v>
      </c>
      <c r="I28" s="5" t="s">
        <v>65</v>
      </c>
      <c r="J28" s="5" t="s">
        <v>81</v>
      </c>
      <c r="K28" s="6" t="n">
        <v>179.91</v>
      </c>
      <c r="L28" s="5" t="n">
        <v>8</v>
      </c>
      <c r="M28" s="7" t="n">
        <v>0.2</v>
      </c>
      <c r="N28" s="6" t="n">
        <v>27.77</v>
      </c>
    </row>
    <row r="29" customFormat="false" ht="15" hidden="false" customHeight="false" outlineLevel="0" collapsed="false">
      <c r="A29" s="5" t="s">
        <v>162</v>
      </c>
      <c r="B29" s="5" t="s">
        <v>83</v>
      </c>
      <c r="C29" s="5" t="s">
        <v>42</v>
      </c>
      <c r="D29" s="5" t="s">
        <v>43</v>
      </c>
      <c r="E29" s="5" t="s">
        <v>100</v>
      </c>
      <c r="F29" s="5" t="s">
        <v>101</v>
      </c>
      <c r="G29" s="5" t="n">
        <v>19140</v>
      </c>
      <c r="H29" s="5" t="s">
        <v>46</v>
      </c>
      <c r="I29" s="5" t="s">
        <v>65</v>
      </c>
      <c r="J29" s="5" t="s">
        <v>133</v>
      </c>
      <c r="K29" s="6" t="n">
        <v>16.19</v>
      </c>
      <c r="L29" s="5" t="n">
        <v>7</v>
      </c>
      <c r="M29" s="7" t="n">
        <v>0</v>
      </c>
      <c r="N29" s="6" t="n">
        <v>-0.15</v>
      </c>
    </row>
    <row r="30" customFormat="false" ht="15" hidden="false" customHeight="false" outlineLevel="0" collapsed="false">
      <c r="A30" s="5" t="s">
        <v>304</v>
      </c>
      <c r="B30" s="5" t="s">
        <v>68</v>
      </c>
      <c r="C30" s="5" t="s">
        <v>50</v>
      </c>
      <c r="D30" s="5" t="s">
        <v>43</v>
      </c>
      <c r="E30" s="5" t="s">
        <v>112</v>
      </c>
      <c r="F30" s="5" t="s">
        <v>63</v>
      </c>
      <c r="G30" s="5" t="n">
        <v>75217</v>
      </c>
      <c r="H30" s="5" t="s">
        <v>64</v>
      </c>
      <c r="I30" s="5" t="s">
        <v>65</v>
      </c>
      <c r="J30" s="5" t="s">
        <v>120</v>
      </c>
      <c r="K30" s="6" t="n">
        <v>20.74</v>
      </c>
      <c r="L30" s="5" t="n">
        <v>7</v>
      </c>
      <c r="M30" s="7" t="n">
        <v>0.7</v>
      </c>
      <c r="N30" s="6" t="n">
        <v>1.68</v>
      </c>
    </row>
    <row r="31" customFormat="false" ht="15" hidden="false" customHeight="false" outlineLevel="0" collapsed="false">
      <c r="A31" s="5" t="s">
        <v>387</v>
      </c>
      <c r="B31" s="5" t="s">
        <v>83</v>
      </c>
      <c r="C31" s="5" t="s">
        <v>42</v>
      </c>
      <c r="D31" s="5" t="s">
        <v>43</v>
      </c>
      <c r="E31" s="5" t="s">
        <v>114</v>
      </c>
      <c r="F31" s="5" t="s">
        <v>115</v>
      </c>
      <c r="G31" s="5" t="n">
        <v>90036</v>
      </c>
      <c r="H31" s="5" t="s">
        <v>72</v>
      </c>
      <c r="I31" s="5" t="s">
        <v>54</v>
      </c>
      <c r="J31" s="5" t="s">
        <v>55</v>
      </c>
      <c r="K31" s="6" t="n">
        <v>1542.39</v>
      </c>
      <c r="L31" s="5" t="n">
        <v>6</v>
      </c>
      <c r="M31" s="7" t="n">
        <v>0</v>
      </c>
      <c r="N31" s="6" t="n">
        <v>565.44</v>
      </c>
    </row>
    <row r="32" customFormat="false" ht="15" hidden="false" customHeight="false" outlineLevel="0" collapsed="false">
      <c r="A32" s="5" t="s">
        <v>285</v>
      </c>
      <c r="B32" s="5" t="s">
        <v>41</v>
      </c>
      <c r="C32" s="5" t="s">
        <v>69</v>
      </c>
      <c r="D32" s="5" t="s">
        <v>43</v>
      </c>
      <c r="E32" s="5" t="s">
        <v>107</v>
      </c>
      <c r="F32" s="5" t="s">
        <v>108</v>
      </c>
      <c r="G32" s="5" t="n">
        <v>7102</v>
      </c>
      <c r="H32" s="5" t="s">
        <v>46</v>
      </c>
      <c r="I32" s="5" t="s">
        <v>65</v>
      </c>
      <c r="J32" s="5" t="s">
        <v>120</v>
      </c>
      <c r="K32" s="6" t="n">
        <v>10.35</v>
      </c>
      <c r="L32" s="5" t="n">
        <v>2</v>
      </c>
      <c r="M32" s="7" t="n">
        <v>0.7</v>
      </c>
      <c r="N32" s="6" t="n">
        <v>-0.89</v>
      </c>
    </row>
    <row r="33" customFormat="false" ht="15" hidden="false" customHeight="false" outlineLevel="0" collapsed="false">
      <c r="A33" s="5" t="s">
        <v>139</v>
      </c>
      <c r="B33" s="5" t="s">
        <v>68</v>
      </c>
      <c r="C33" s="5" t="s">
        <v>42</v>
      </c>
      <c r="D33" s="5" t="s">
        <v>43</v>
      </c>
      <c r="E33" s="5" t="s">
        <v>104</v>
      </c>
      <c r="F33" s="5" t="s">
        <v>105</v>
      </c>
      <c r="G33" s="5" t="n">
        <v>28205</v>
      </c>
      <c r="H33" s="5" t="s">
        <v>53</v>
      </c>
      <c r="I33" s="5" t="s">
        <v>65</v>
      </c>
      <c r="J33" s="5" t="s">
        <v>133</v>
      </c>
      <c r="K33" s="6" t="n">
        <v>39.65</v>
      </c>
      <c r="L33" s="5" t="n">
        <v>3</v>
      </c>
      <c r="M33" s="7" t="n">
        <v>0.15</v>
      </c>
      <c r="N33" s="6" t="n">
        <v>13.42</v>
      </c>
    </row>
    <row r="34" customFormat="false" ht="15" hidden="false" customHeight="false" outlineLevel="0" collapsed="false">
      <c r="A34" s="5" t="s">
        <v>238</v>
      </c>
      <c r="B34" s="5" t="s">
        <v>41</v>
      </c>
      <c r="C34" s="5" t="s">
        <v>42</v>
      </c>
      <c r="D34" s="5" t="s">
        <v>43</v>
      </c>
      <c r="E34" s="5" t="s">
        <v>95</v>
      </c>
      <c r="F34" s="5" t="s">
        <v>96</v>
      </c>
      <c r="G34" s="5" t="n">
        <v>97206</v>
      </c>
      <c r="H34" s="5" t="s">
        <v>72</v>
      </c>
      <c r="I34" s="5" t="s">
        <v>47</v>
      </c>
      <c r="J34" s="5" t="s">
        <v>84</v>
      </c>
      <c r="K34" s="6" t="n">
        <v>34.92</v>
      </c>
      <c r="L34" s="5" t="n">
        <v>5</v>
      </c>
      <c r="M34" s="7" t="n">
        <v>0.3</v>
      </c>
      <c r="N34" s="6" t="n">
        <v>-9.04</v>
      </c>
    </row>
    <row r="35" customFormat="false" ht="15" hidden="false" customHeight="false" outlineLevel="0" collapsed="false">
      <c r="A35" s="5" t="s">
        <v>258</v>
      </c>
      <c r="B35" s="5" t="s">
        <v>41</v>
      </c>
      <c r="C35" s="5" t="s">
        <v>42</v>
      </c>
      <c r="D35" s="5" t="s">
        <v>43</v>
      </c>
      <c r="E35" s="5" t="s">
        <v>62</v>
      </c>
      <c r="F35" s="5" t="s">
        <v>63</v>
      </c>
      <c r="G35" s="5" t="n">
        <v>77095</v>
      </c>
      <c r="H35" s="5" t="s">
        <v>64</v>
      </c>
      <c r="I35" s="5" t="s">
        <v>54</v>
      </c>
      <c r="J35" s="5" t="s">
        <v>77</v>
      </c>
      <c r="K35" s="6" t="n">
        <v>35.29</v>
      </c>
      <c r="L35" s="5" t="n">
        <v>6</v>
      </c>
      <c r="M35" s="7" t="n">
        <v>0.2</v>
      </c>
      <c r="N35" s="6" t="n">
        <v>11.61</v>
      </c>
    </row>
    <row r="36" customFormat="false" ht="15" hidden="false" customHeight="false" outlineLevel="0" collapsed="false">
      <c r="A36" s="5" t="s">
        <v>243</v>
      </c>
      <c r="B36" s="5" t="s">
        <v>41</v>
      </c>
      <c r="C36" s="5" t="s">
        <v>69</v>
      </c>
      <c r="D36" s="5" t="s">
        <v>43</v>
      </c>
      <c r="E36" s="5" t="s">
        <v>112</v>
      </c>
      <c r="F36" s="5" t="s">
        <v>63</v>
      </c>
      <c r="G36" s="5" t="n">
        <v>75217</v>
      </c>
      <c r="H36" s="5" t="s">
        <v>64</v>
      </c>
      <c r="I36" s="5" t="s">
        <v>54</v>
      </c>
      <c r="J36" s="5" t="s">
        <v>93</v>
      </c>
      <c r="K36" s="6" t="n">
        <v>275.64</v>
      </c>
      <c r="L36" s="5" t="n">
        <v>9</v>
      </c>
      <c r="M36" s="7" t="n">
        <v>0.4</v>
      </c>
      <c r="N36" s="6" t="n">
        <v>54.56</v>
      </c>
    </row>
    <row r="37" customFormat="false" ht="15" hidden="false" customHeight="false" outlineLevel="0" collapsed="false">
      <c r="A37" s="5" t="s">
        <v>329</v>
      </c>
      <c r="B37" s="5" t="s">
        <v>57</v>
      </c>
      <c r="C37" s="5" t="s">
        <v>42</v>
      </c>
      <c r="D37" s="5" t="s">
        <v>43</v>
      </c>
      <c r="E37" s="5" t="s">
        <v>107</v>
      </c>
      <c r="F37" s="5" t="s">
        <v>108</v>
      </c>
      <c r="G37" s="5" t="n">
        <v>7102</v>
      </c>
      <c r="H37" s="5" t="s">
        <v>46</v>
      </c>
      <c r="I37" s="5" t="s">
        <v>54</v>
      </c>
      <c r="J37" s="5" t="s">
        <v>77</v>
      </c>
      <c r="K37" s="6" t="n">
        <v>277.83</v>
      </c>
      <c r="L37" s="5" t="n">
        <v>4</v>
      </c>
      <c r="M37" s="7" t="n">
        <v>0.4</v>
      </c>
      <c r="N37" s="6" t="n">
        <v>57.1</v>
      </c>
    </row>
    <row r="38" customFormat="false" ht="15" hidden="false" customHeight="false" outlineLevel="0" collapsed="false">
      <c r="A38" s="5" t="s">
        <v>192</v>
      </c>
      <c r="B38" s="5" t="s">
        <v>57</v>
      </c>
      <c r="C38" s="5" t="s">
        <v>50</v>
      </c>
      <c r="D38" s="5" t="s">
        <v>43</v>
      </c>
      <c r="E38" s="5" t="s">
        <v>62</v>
      </c>
      <c r="F38" s="5" t="s">
        <v>63</v>
      </c>
      <c r="G38" s="5" t="n">
        <v>77095</v>
      </c>
      <c r="H38" s="5" t="s">
        <v>64</v>
      </c>
      <c r="I38" s="5" t="s">
        <v>54</v>
      </c>
      <c r="J38" s="5" t="s">
        <v>73</v>
      </c>
      <c r="K38" s="6" t="n">
        <v>133.36</v>
      </c>
      <c r="L38" s="5" t="n">
        <v>6</v>
      </c>
      <c r="M38" s="7" t="n">
        <v>0.2</v>
      </c>
      <c r="N38" s="6" t="n">
        <v>42.12</v>
      </c>
    </row>
    <row r="39" customFormat="false" ht="15" hidden="false" customHeight="false" outlineLevel="0" collapsed="false">
      <c r="A39" s="5" t="s">
        <v>323</v>
      </c>
      <c r="B39" s="5" t="s">
        <v>83</v>
      </c>
      <c r="C39" s="5" t="s">
        <v>50</v>
      </c>
      <c r="D39" s="5" t="s">
        <v>43</v>
      </c>
      <c r="E39" s="5" t="s">
        <v>51</v>
      </c>
      <c r="F39" s="5" t="s">
        <v>52</v>
      </c>
      <c r="G39" s="5" t="n">
        <v>37211</v>
      </c>
      <c r="H39" s="5" t="s">
        <v>53</v>
      </c>
      <c r="I39" s="5" t="s">
        <v>47</v>
      </c>
      <c r="J39" s="5" t="s">
        <v>84</v>
      </c>
      <c r="K39" s="6" t="n">
        <v>26.75</v>
      </c>
      <c r="L39" s="5" t="n">
        <v>3</v>
      </c>
      <c r="M39" s="7" t="n">
        <v>0.1</v>
      </c>
      <c r="N39" s="6" t="n">
        <v>-2.59</v>
      </c>
    </row>
    <row r="40" customFormat="false" ht="15" hidden="false" customHeight="false" outlineLevel="0" collapsed="false">
      <c r="A40" s="5" t="s">
        <v>134</v>
      </c>
      <c r="B40" s="5" t="s">
        <v>57</v>
      </c>
      <c r="C40" s="5" t="s">
        <v>50</v>
      </c>
      <c r="D40" s="5" t="s">
        <v>43</v>
      </c>
      <c r="E40" s="5" t="s">
        <v>75</v>
      </c>
      <c r="F40" s="5" t="s">
        <v>76</v>
      </c>
      <c r="G40" s="5" t="n">
        <v>60610</v>
      </c>
      <c r="H40" s="5" t="s">
        <v>64</v>
      </c>
      <c r="I40" s="5" t="s">
        <v>47</v>
      </c>
      <c r="J40" s="5" t="s">
        <v>86</v>
      </c>
      <c r="K40" s="6" t="n">
        <v>35.06</v>
      </c>
      <c r="L40" s="5" t="n">
        <v>3</v>
      </c>
      <c r="M40" s="7" t="n">
        <v>0.1</v>
      </c>
      <c r="N40" s="6" t="n">
        <v>1.15</v>
      </c>
    </row>
    <row r="41" customFormat="false" ht="15" hidden="false" customHeight="false" outlineLevel="0" collapsed="false">
      <c r="A41" s="5" t="s">
        <v>250</v>
      </c>
      <c r="B41" s="5" t="s">
        <v>68</v>
      </c>
      <c r="C41" s="5" t="s">
        <v>42</v>
      </c>
      <c r="D41" s="5" t="s">
        <v>43</v>
      </c>
      <c r="E41" s="5" t="s">
        <v>176</v>
      </c>
      <c r="F41" s="5" t="s">
        <v>177</v>
      </c>
      <c r="G41" s="5" t="n">
        <v>55407</v>
      </c>
      <c r="H41" s="5" t="s">
        <v>64</v>
      </c>
      <c r="I41" s="5" t="s">
        <v>65</v>
      </c>
      <c r="J41" s="5" t="s">
        <v>66</v>
      </c>
      <c r="K41" s="6" t="n">
        <v>13.05</v>
      </c>
      <c r="L41" s="5" t="n">
        <v>9</v>
      </c>
      <c r="M41" s="7" t="n">
        <v>0.2</v>
      </c>
      <c r="N41" s="6" t="n">
        <v>3.1</v>
      </c>
    </row>
    <row r="42" customFormat="false" ht="15" hidden="false" customHeight="false" outlineLevel="0" collapsed="false">
      <c r="A42" s="5" t="s">
        <v>339</v>
      </c>
      <c r="B42" s="5" t="s">
        <v>83</v>
      </c>
      <c r="C42" s="5" t="s">
        <v>69</v>
      </c>
      <c r="D42" s="5" t="s">
        <v>43</v>
      </c>
      <c r="E42" s="5" t="s">
        <v>62</v>
      </c>
      <c r="F42" s="5" t="s">
        <v>63</v>
      </c>
      <c r="G42" s="5" t="n">
        <v>77095</v>
      </c>
      <c r="H42" s="5" t="s">
        <v>64</v>
      </c>
      <c r="I42" s="5" t="s">
        <v>54</v>
      </c>
      <c r="J42" s="5" t="s">
        <v>77</v>
      </c>
      <c r="K42" s="6" t="n">
        <v>888.46</v>
      </c>
      <c r="L42" s="5" t="n">
        <v>9</v>
      </c>
      <c r="M42" s="7" t="n">
        <v>0.5</v>
      </c>
      <c r="N42" s="6" t="n">
        <v>114.03</v>
      </c>
    </row>
    <row r="43" customFormat="false" ht="15" hidden="false" customHeight="false" outlineLevel="0" collapsed="false">
      <c r="A43" s="5" t="s">
        <v>137</v>
      </c>
      <c r="B43" s="5" t="s">
        <v>68</v>
      </c>
      <c r="C43" s="5" t="s">
        <v>42</v>
      </c>
      <c r="D43" s="5" t="s">
        <v>43</v>
      </c>
      <c r="E43" s="5" t="s">
        <v>91</v>
      </c>
      <c r="F43" s="5" t="s">
        <v>92</v>
      </c>
      <c r="G43" s="5" t="n">
        <v>33311</v>
      </c>
      <c r="H43" s="5" t="s">
        <v>53</v>
      </c>
      <c r="I43" s="5" t="s">
        <v>65</v>
      </c>
      <c r="J43" s="5" t="s">
        <v>138</v>
      </c>
      <c r="K43" s="6" t="n">
        <v>73.2</v>
      </c>
      <c r="L43" s="5" t="n">
        <v>3</v>
      </c>
      <c r="M43" s="7" t="n">
        <v>0</v>
      </c>
      <c r="N43" s="6" t="n">
        <v>22.48</v>
      </c>
    </row>
    <row r="44" customFormat="false" ht="15" hidden="false" customHeight="false" outlineLevel="0" collapsed="false">
      <c r="A44" s="5" t="s">
        <v>99</v>
      </c>
      <c r="B44" s="5" t="s">
        <v>68</v>
      </c>
      <c r="C44" s="5" t="s">
        <v>50</v>
      </c>
      <c r="D44" s="5" t="s">
        <v>43</v>
      </c>
      <c r="E44" s="5" t="s">
        <v>100</v>
      </c>
      <c r="F44" s="5" t="s">
        <v>101</v>
      </c>
      <c r="G44" s="5" t="n">
        <v>19140</v>
      </c>
      <c r="H44" s="5" t="s">
        <v>46</v>
      </c>
      <c r="I44" s="5" t="s">
        <v>54</v>
      </c>
      <c r="J44" s="5" t="s">
        <v>73</v>
      </c>
      <c r="K44" s="6" t="n">
        <v>132.99</v>
      </c>
      <c r="L44" s="5" t="n">
        <v>6</v>
      </c>
      <c r="M44" s="7" t="n">
        <v>0.7</v>
      </c>
      <c r="N44" s="6" t="n">
        <v>3.34</v>
      </c>
    </row>
    <row r="45" customFormat="false" ht="15" hidden="false" customHeight="false" outlineLevel="0" collapsed="false">
      <c r="A45" s="5" t="s">
        <v>185</v>
      </c>
      <c r="B45" s="5" t="s">
        <v>57</v>
      </c>
      <c r="C45" s="5" t="s">
        <v>50</v>
      </c>
      <c r="D45" s="5" t="s">
        <v>43</v>
      </c>
      <c r="E45" s="5" t="s">
        <v>112</v>
      </c>
      <c r="F45" s="5" t="s">
        <v>63</v>
      </c>
      <c r="G45" s="5" t="n">
        <v>75217</v>
      </c>
      <c r="H45" s="5" t="s">
        <v>64</v>
      </c>
      <c r="I45" s="5" t="s">
        <v>54</v>
      </c>
      <c r="J45" s="5" t="s">
        <v>93</v>
      </c>
      <c r="K45" s="6" t="n">
        <v>158.48</v>
      </c>
      <c r="L45" s="5" t="n">
        <v>7</v>
      </c>
      <c r="M45" s="7" t="n">
        <v>0.5</v>
      </c>
      <c r="N45" s="6" t="n">
        <v>25.84</v>
      </c>
    </row>
    <row r="46" customFormat="false" ht="15" hidden="false" customHeight="false" outlineLevel="0" collapsed="false">
      <c r="A46" s="5" t="s">
        <v>390</v>
      </c>
      <c r="B46" s="5" t="s">
        <v>68</v>
      </c>
      <c r="C46" s="5" t="s">
        <v>50</v>
      </c>
      <c r="D46" s="5" t="s">
        <v>43</v>
      </c>
      <c r="E46" s="5" t="s">
        <v>176</v>
      </c>
      <c r="F46" s="5" t="s">
        <v>177</v>
      </c>
      <c r="G46" s="5" t="n">
        <v>55407</v>
      </c>
      <c r="H46" s="5" t="s">
        <v>64</v>
      </c>
      <c r="I46" s="5" t="s">
        <v>47</v>
      </c>
      <c r="J46" s="5" t="s">
        <v>84</v>
      </c>
      <c r="K46" s="6" t="n">
        <v>132.95</v>
      </c>
      <c r="L46" s="5" t="n">
        <v>4</v>
      </c>
      <c r="M46" s="7" t="n">
        <v>0.2</v>
      </c>
      <c r="N46" s="6" t="n">
        <v>-23.97</v>
      </c>
    </row>
    <row r="47" customFormat="false" ht="15" hidden="false" customHeight="false" outlineLevel="0" collapsed="false">
      <c r="A47" s="5" t="s">
        <v>303</v>
      </c>
      <c r="B47" s="5" t="s">
        <v>41</v>
      </c>
      <c r="C47" s="5" t="s">
        <v>42</v>
      </c>
      <c r="D47" s="5" t="s">
        <v>43</v>
      </c>
      <c r="E47" s="5" t="s">
        <v>51</v>
      </c>
      <c r="F47" s="5" t="s">
        <v>52</v>
      </c>
      <c r="G47" s="5" t="n">
        <v>37211</v>
      </c>
      <c r="H47" s="5" t="s">
        <v>53</v>
      </c>
      <c r="I47" s="5" t="s">
        <v>65</v>
      </c>
      <c r="J47" s="5" t="s">
        <v>133</v>
      </c>
      <c r="K47" s="6" t="n">
        <v>140.26</v>
      </c>
      <c r="L47" s="5" t="n">
        <v>4</v>
      </c>
      <c r="M47" s="7" t="n">
        <v>0</v>
      </c>
      <c r="N47" s="6" t="n">
        <v>48.7</v>
      </c>
    </row>
    <row r="48" customFormat="false" ht="15" hidden="false" customHeight="false" outlineLevel="0" collapsed="false">
      <c r="A48" s="5" t="s">
        <v>270</v>
      </c>
      <c r="B48" s="5" t="s">
        <v>83</v>
      </c>
      <c r="C48" s="5" t="s">
        <v>69</v>
      </c>
      <c r="D48" s="5" t="s">
        <v>43</v>
      </c>
      <c r="E48" s="5" t="s">
        <v>91</v>
      </c>
      <c r="F48" s="5" t="s">
        <v>92</v>
      </c>
      <c r="G48" s="5" t="n">
        <v>33311</v>
      </c>
      <c r="H48" s="5" t="s">
        <v>53</v>
      </c>
      <c r="I48" s="5" t="s">
        <v>54</v>
      </c>
      <c r="J48" s="5" t="s">
        <v>73</v>
      </c>
      <c r="K48" s="6" t="n">
        <v>152.08</v>
      </c>
      <c r="L48" s="5" t="n">
        <v>6</v>
      </c>
      <c r="M48" s="7" t="n">
        <v>0.7</v>
      </c>
      <c r="N48" s="6" t="n">
        <v>2.97</v>
      </c>
    </row>
    <row r="49" customFormat="false" ht="15" hidden="false" customHeight="false" outlineLevel="0" collapsed="false">
      <c r="A49" s="5" t="s">
        <v>231</v>
      </c>
      <c r="B49" s="5" t="s">
        <v>68</v>
      </c>
      <c r="C49" s="5" t="s">
        <v>69</v>
      </c>
      <c r="D49" s="5" t="s">
        <v>43</v>
      </c>
      <c r="E49" s="5" t="s">
        <v>79</v>
      </c>
      <c r="F49" s="5" t="s">
        <v>80</v>
      </c>
      <c r="G49" s="5" t="n">
        <v>2127</v>
      </c>
      <c r="H49" s="5" t="s">
        <v>46</v>
      </c>
      <c r="I49" s="5" t="s">
        <v>47</v>
      </c>
      <c r="J49" s="5" t="s">
        <v>60</v>
      </c>
      <c r="K49" s="6" t="n">
        <v>188.13</v>
      </c>
      <c r="L49" s="5" t="n">
        <v>6</v>
      </c>
      <c r="M49" s="7" t="n">
        <v>0</v>
      </c>
      <c r="N49" s="6" t="n">
        <v>34.07</v>
      </c>
    </row>
    <row r="50" customFormat="false" ht="15" hidden="false" customHeight="false" outlineLevel="0" collapsed="false">
      <c r="A50" s="5" t="s">
        <v>349</v>
      </c>
      <c r="B50" s="5" t="s">
        <v>68</v>
      </c>
      <c r="C50" s="5" t="s">
        <v>69</v>
      </c>
      <c r="D50" s="5" t="s">
        <v>43</v>
      </c>
      <c r="E50" s="5" t="s">
        <v>70</v>
      </c>
      <c r="F50" s="5" t="s">
        <v>71</v>
      </c>
      <c r="G50" s="5" t="n">
        <v>80219</v>
      </c>
      <c r="H50" s="5" t="s">
        <v>72</v>
      </c>
      <c r="I50" s="5" t="s">
        <v>54</v>
      </c>
      <c r="J50" s="5" t="s">
        <v>55</v>
      </c>
      <c r="K50" s="6" t="n">
        <v>20.99</v>
      </c>
      <c r="L50" s="5" t="n">
        <v>2</v>
      </c>
      <c r="M50" s="7" t="n">
        <v>0</v>
      </c>
      <c r="N50" s="6" t="n">
        <v>8.49</v>
      </c>
    </row>
    <row r="51" customFormat="false" ht="15" hidden="false" customHeight="false" outlineLevel="0" collapsed="false">
      <c r="A51" s="5" t="s">
        <v>198</v>
      </c>
      <c r="B51" s="5" t="s">
        <v>41</v>
      </c>
      <c r="C51" s="5" t="s">
        <v>69</v>
      </c>
      <c r="D51" s="5" t="s">
        <v>43</v>
      </c>
      <c r="E51" s="5" t="s">
        <v>176</v>
      </c>
      <c r="F51" s="5" t="s">
        <v>177</v>
      </c>
      <c r="G51" s="5" t="n">
        <v>55407</v>
      </c>
      <c r="H51" s="5" t="s">
        <v>64</v>
      </c>
      <c r="I51" s="5" t="s">
        <v>54</v>
      </c>
      <c r="J51" s="5" t="s">
        <v>93</v>
      </c>
      <c r="K51" s="6" t="n">
        <v>421.68</v>
      </c>
      <c r="L51" s="5" t="n">
        <v>2</v>
      </c>
      <c r="M51" s="7" t="n">
        <v>0.4</v>
      </c>
      <c r="N51" s="6" t="n">
        <v>98.38</v>
      </c>
    </row>
    <row r="52" customFormat="false" ht="15" hidden="false" customHeight="false" outlineLevel="0" collapsed="false">
      <c r="A52" s="5" t="s">
        <v>246</v>
      </c>
      <c r="B52" s="5" t="s">
        <v>57</v>
      </c>
      <c r="C52" s="5" t="s">
        <v>50</v>
      </c>
      <c r="D52" s="5" t="s">
        <v>43</v>
      </c>
      <c r="E52" s="5" t="s">
        <v>176</v>
      </c>
      <c r="F52" s="5" t="s">
        <v>177</v>
      </c>
      <c r="G52" s="5" t="n">
        <v>55407</v>
      </c>
      <c r="H52" s="5" t="s">
        <v>64</v>
      </c>
      <c r="I52" s="5" t="s">
        <v>54</v>
      </c>
      <c r="J52" s="5" t="s">
        <v>55</v>
      </c>
      <c r="K52" s="6" t="n">
        <v>116.91</v>
      </c>
      <c r="L52" s="5" t="n">
        <v>8</v>
      </c>
      <c r="M52" s="7" t="n">
        <v>0.2</v>
      </c>
      <c r="N52" s="6" t="n">
        <v>28.91</v>
      </c>
    </row>
    <row r="53" customFormat="false" ht="15" hidden="false" customHeight="false" outlineLevel="0" collapsed="false">
      <c r="A53" s="5" t="s">
        <v>151</v>
      </c>
      <c r="B53" s="5" t="s">
        <v>57</v>
      </c>
      <c r="C53" s="5" t="s">
        <v>50</v>
      </c>
      <c r="D53" s="5" t="s">
        <v>43</v>
      </c>
      <c r="E53" s="5" t="s">
        <v>75</v>
      </c>
      <c r="F53" s="5" t="s">
        <v>76</v>
      </c>
      <c r="G53" s="5" t="n">
        <v>60610</v>
      </c>
      <c r="H53" s="5" t="s">
        <v>64</v>
      </c>
      <c r="I53" s="5" t="s">
        <v>47</v>
      </c>
      <c r="J53" s="5" t="s">
        <v>48</v>
      </c>
      <c r="K53" s="6" t="n">
        <v>154.56</v>
      </c>
      <c r="L53" s="5" t="n">
        <v>4</v>
      </c>
      <c r="M53" s="7" t="n">
        <v>0.3</v>
      </c>
      <c r="N53" s="6" t="n">
        <v>-18.32</v>
      </c>
    </row>
    <row r="54" customFormat="false" ht="15" hidden="false" customHeight="false" outlineLevel="0" collapsed="false">
      <c r="A54" s="5" t="s">
        <v>40</v>
      </c>
      <c r="B54" s="5" t="s">
        <v>41</v>
      </c>
      <c r="C54" s="5" t="s">
        <v>42</v>
      </c>
      <c r="D54" s="5" t="s">
        <v>43</v>
      </c>
      <c r="E54" s="5" t="s">
        <v>44</v>
      </c>
      <c r="F54" s="5" t="s">
        <v>45</v>
      </c>
      <c r="G54" s="5" t="n">
        <v>10011</v>
      </c>
      <c r="H54" s="5" t="s">
        <v>46</v>
      </c>
      <c r="I54" s="5" t="s">
        <v>47</v>
      </c>
      <c r="J54" s="5" t="s">
        <v>48</v>
      </c>
      <c r="K54" s="6" t="n">
        <v>143.63</v>
      </c>
      <c r="L54" s="5" t="n">
        <v>4</v>
      </c>
      <c r="M54" s="7" t="n">
        <v>0.1</v>
      </c>
      <c r="N54" s="6" t="n">
        <v>3.49</v>
      </c>
    </row>
    <row r="55" customFormat="false" ht="15" hidden="false" customHeight="false" outlineLevel="0" collapsed="false">
      <c r="A55" s="5" t="s">
        <v>210</v>
      </c>
      <c r="B55" s="5" t="s">
        <v>41</v>
      </c>
      <c r="C55" s="5" t="s">
        <v>42</v>
      </c>
      <c r="D55" s="5" t="s">
        <v>43</v>
      </c>
      <c r="E55" s="5" t="s">
        <v>58</v>
      </c>
      <c r="F55" s="5" t="s">
        <v>59</v>
      </c>
      <c r="G55" s="5" t="n">
        <v>30318</v>
      </c>
      <c r="H55" s="5" t="s">
        <v>53</v>
      </c>
      <c r="I55" s="5" t="s">
        <v>65</v>
      </c>
      <c r="J55" s="5" t="s">
        <v>109</v>
      </c>
      <c r="K55" s="6" t="n">
        <v>25.31</v>
      </c>
      <c r="L55" s="5" t="n">
        <v>7</v>
      </c>
      <c r="M55" s="7" t="n">
        <v>0.2</v>
      </c>
      <c r="N55" s="6" t="n">
        <v>4.83</v>
      </c>
    </row>
    <row r="56" customFormat="false" ht="15" hidden="false" customHeight="false" outlineLevel="0" collapsed="false">
      <c r="A56" s="5" t="s">
        <v>335</v>
      </c>
      <c r="B56" s="5" t="s">
        <v>83</v>
      </c>
      <c r="C56" s="5" t="s">
        <v>42</v>
      </c>
      <c r="D56" s="5" t="s">
        <v>43</v>
      </c>
      <c r="E56" s="5" t="s">
        <v>118</v>
      </c>
      <c r="F56" s="5" t="s">
        <v>119</v>
      </c>
      <c r="G56" s="5" t="n">
        <v>98103</v>
      </c>
      <c r="H56" s="5" t="s">
        <v>72</v>
      </c>
      <c r="I56" s="5" t="s">
        <v>65</v>
      </c>
      <c r="J56" s="5" t="s">
        <v>120</v>
      </c>
      <c r="K56" s="6" t="n">
        <v>156.46</v>
      </c>
      <c r="L56" s="5" t="n">
        <v>7</v>
      </c>
      <c r="M56" s="7" t="n">
        <v>0</v>
      </c>
      <c r="N56" s="6" t="n">
        <v>55.66</v>
      </c>
    </row>
    <row r="57" customFormat="false" ht="15" hidden="false" customHeight="false" outlineLevel="0" collapsed="false">
      <c r="A57" s="5" t="s">
        <v>144</v>
      </c>
      <c r="B57" s="5" t="s">
        <v>68</v>
      </c>
      <c r="C57" s="5" t="s">
        <v>42</v>
      </c>
      <c r="D57" s="5" t="s">
        <v>43</v>
      </c>
      <c r="E57" s="5" t="s">
        <v>104</v>
      </c>
      <c r="F57" s="5" t="s">
        <v>105</v>
      </c>
      <c r="G57" s="5" t="n">
        <v>28205</v>
      </c>
      <c r="H57" s="5" t="s">
        <v>53</v>
      </c>
      <c r="I57" s="5" t="s">
        <v>65</v>
      </c>
      <c r="J57" s="5" t="s">
        <v>122</v>
      </c>
      <c r="K57" s="6" t="n">
        <v>11.27</v>
      </c>
      <c r="L57" s="5" t="n">
        <v>3</v>
      </c>
      <c r="M57" s="7" t="n">
        <v>0.2</v>
      </c>
      <c r="N57" s="6" t="n">
        <v>2.53</v>
      </c>
    </row>
    <row r="58" customFormat="false" ht="15" hidden="false" customHeight="false" outlineLevel="0" collapsed="false">
      <c r="A58" s="5" t="s">
        <v>268</v>
      </c>
      <c r="B58" s="5" t="s">
        <v>57</v>
      </c>
      <c r="C58" s="5" t="s">
        <v>42</v>
      </c>
      <c r="D58" s="5" t="s">
        <v>43</v>
      </c>
      <c r="E58" s="5" t="s">
        <v>114</v>
      </c>
      <c r="F58" s="5" t="s">
        <v>115</v>
      </c>
      <c r="G58" s="5" t="n">
        <v>90036</v>
      </c>
      <c r="H58" s="5" t="s">
        <v>72</v>
      </c>
      <c r="I58" s="5" t="s">
        <v>54</v>
      </c>
      <c r="J58" s="5" t="s">
        <v>77</v>
      </c>
      <c r="K58" s="6" t="n">
        <v>138.2</v>
      </c>
      <c r="L58" s="5" t="n">
        <v>7</v>
      </c>
      <c r="M58" s="7" t="n">
        <v>0</v>
      </c>
      <c r="N58" s="6" t="n">
        <v>68.38</v>
      </c>
    </row>
    <row r="59" customFormat="false" ht="15" hidden="false" customHeight="false" outlineLevel="0" collapsed="false">
      <c r="A59" s="5" t="s">
        <v>132</v>
      </c>
      <c r="B59" s="5" t="s">
        <v>41</v>
      </c>
      <c r="C59" s="5" t="s">
        <v>69</v>
      </c>
      <c r="D59" s="5" t="s">
        <v>43</v>
      </c>
      <c r="E59" s="5" t="s">
        <v>100</v>
      </c>
      <c r="F59" s="5" t="s">
        <v>101</v>
      </c>
      <c r="G59" s="5" t="n">
        <v>19140</v>
      </c>
      <c r="H59" s="5" t="s">
        <v>46</v>
      </c>
      <c r="I59" s="5" t="s">
        <v>65</v>
      </c>
      <c r="J59" s="5" t="s">
        <v>133</v>
      </c>
      <c r="K59" s="6" t="n">
        <v>25.16</v>
      </c>
      <c r="L59" s="5" t="n">
        <v>9</v>
      </c>
      <c r="M59" s="7" t="n">
        <v>0.4</v>
      </c>
      <c r="N59" s="6" t="n">
        <v>5.62</v>
      </c>
    </row>
    <row r="60" customFormat="false" ht="15" hidden="false" customHeight="false" outlineLevel="0" collapsed="false">
      <c r="A60" s="5" t="s">
        <v>142</v>
      </c>
      <c r="B60" s="5" t="s">
        <v>68</v>
      </c>
      <c r="C60" s="5" t="s">
        <v>69</v>
      </c>
      <c r="D60" s="5" t="s">
        <v>43</v>
      </c>
      <c r="E60" s="5" t="s">
        <v>62</v>
      </c>
      <c r="F60" s="5" t="s">
        <v>63</v>
      </c>
      <c r="G60" s="5" t="n">
        <v>77095</v>
      </c>
      <c r="H60" s="5" t="s">
        <v>64</v>
      </c>
      <c r="I60" s="5" t="s">
        <v>65</v>
      </c>
      <c r="J60" s="5" t="s">
        <v>133</v>
      </c>
      <c r="K60" s="6" t="n">
        <v>95.53</v>
      </c>
      <c r="L60" s="5" t="n">
        <v>9</v>
      </c>
      <c r="M60" s="7" t="n">
        <v>0.7</v>
      </c>
      <c r="N60" s="6" t="n">
        <v>-1.62</v>
      </c>
    </row>
    <row r="61" customFormat="false" ht="15" hidden="false" customHeight="false" outlineLevel="0" collapsed="false">
      <c r="A61" s="5" t="s">
        <v>260</v>
      </c>
      <c r="B61" s="5" t="s">
        <v>41</v>
      </c>
      <c r="C61" s="5" t="s">
        <v>69</v>
      </c>
      <c r="D61" s="5" t="s">
        <v>43</v>
      </c>
      <c r="E61" s="5" t="s">
        <v>95</v>
      </c>
      <c r="F61" s="5" t="s">
        <v>96</v>
      </c>
      <c r="G61" s="5" t="n">
        <v>97206</v>
      </c>
      <c r="H61" s="5" t="s">
        <v>72</v>
      </c>
      <c r="I61" s="5" t="s">
        <v>65</v>
      </c>
      <c r="J61" s="5" t="s">
        <v>88</v>
      </c>
      <c r="K61" s="6" t="n">
        <v>119.98</v>
      </c>
      <c r="L61" s="5" t="n">
        <v>6</v>
      </c>
      <c r="M61" s="7" t="n">
        <v>0.3</v>
      </c>
      <c r="N61" s="6" t="n">
        <v>15.68</v>
      </c>
    </row>
    <row r="62" customFormat="false" ht="15" hidden="false" customHeight="false" outlineLevel="0" collapsed="false">
      <c r="A62" s="5" t="s">
        <v>74</v>
      </c>
      <c r="B62" s="5" t="s">
        <v>57</v>
      </c>
      <c r="C62" s="5" t="s">
        <v>69</v>
      </c>
      <c r="D62" s="5" t="s">
        <v>43</v>
      </c>
      <c r="E62" s="5" t="s">
        <v>75</v>
      </c>
      <c r="F62" s="5" t="s">
        <v>76</v>
      </c>
      <c r="G62" s="5" t="n">
        <v>60610</v>
      </c>
      <c r="H62" s="5" t="s">
        <v>64</v>
      </c>
      <c r="I62" s="5" t="s">
        <v>54</v>
      </c>
      <c r="J62" s="5" t="s">
        <v>77</v>
      </c>
      <c r="K62" s="6" t="n">
        <v>99.88</v>
      </c>
      <c r="L62" s="5" t="n">
        <v>1</v>
      </c>
      <c r="M62" s="7" t="n">
        <v>0.4</v>
      </c>
      <c r="N62" s="6" t="n">
        <v>29.44</v>
      </c>
    </row>
    <row r="63" customFormat="false" ht="15" hidden="false" customHeight="false" outlineLevel="0" collapsed="false">
      <c r="A63" s="5" t="s">
        <v>397</v>
      </c>
      <c r="B63" s="5" t="s">
        <v>83</v>
      </c>
      <c r="C63" s="5" t="s">
        <v>42</v>
      </c>
      <c r="D63" s="5" t="s">
        <v>43</v>
      </c>
      <c r="E63" s="5" t="s">
        <v>118</v>
      </c>
      <c r="F63" s="5" t="s">
        <v>119</v>
      </c>
      <c r="G63" s="5" t="n">
        <v>98103</v>
      </c>
      <c r="H63" s="5" t="s">
        <v>72</v>
      </c>
      <c r="I63" s="5" t="s">
        <v>54</v>
      </c>
      <c r="J63" s="5" t="s">
        <v>73</v>
      </c>
      <c r="K63" s="6" t="n">
        <v>30.09</v>
      </c>
      <c r="L63" s="5" t="n">
        <v>3</v>
      </c>
      <c r="M63" s="7" t="n">
        <v>0.5</v>
      </c>
      <c r="N63" s="6" t="n">
        <v>3.69</v>
      </c>
    </row>
    <row r="64" customFormat="false" ht="15" hidden="false" customHeight="false" outlineLevel="0" collapsed="false">
      <c r="A64" s="5" t="s">
        <v>308</v>
      </c>
      <c r="B64" s="5" t="s">
        <v>83</v>
      </c>
      <c r="C64" s="5" t="s">
        <v>50</v>
      </c>
      <c r="D64" s="5" t="s">
        <v>43</v>
      </c>
      <c r="E64" s="5" t="s">
        <v>91</v>
      </c>
      <c r="F64" s="5" t="s">
        <v>92</v>
      </c>
      <c r="G64" s="5" t="n">
        <v>33311</v>
      </c>
      <c r="H64" s="5" t="s">
        <v>53</v>
      </c>
      <c r="I64" s="5" t="s">
        <v>54</v>
      </c>
      <c r="J64" s="5" t="s">
        <v>73</v>
      </c>
      <c r="K64" s="6" t="n">
        <v>243.6</v>
      </c>
      <c r="L64" s="5" t="n">
        <v>9</v>
      </c>
      <c r="M64" s="7" t="n">
        <v>0.2</v>
      </c>
      <c r="N64" s="6" t="n">
        <v>57.99</v>
      </c>
    </row>
    <row r="65" customFormat="false" ht="15" hidden="false" customHeight="false" outlineLevel="0" collapsed="false">
      <c r="A65" s="5" t="s">
        <v>90</v>
      </c>
      <c r="B65" s="5" t="s">
        <v>57</v>
      </c>
      <c r="C65" s="5" t="s">
        <v>69</v>
      </c>
      <c r="D65" s="5" t="s">
        <v>43</v>
      </c>
      <c r="E65" s="5" t="s">
        <v>91</v>
      </c>
      <c r="F65" s="5" t="s">
        <v>92</v>
      </c>
      <c r="G65" s="5" t="n">
        <v>33311</v>
      </c>
      <c r="H65" s="5" t="s">
        <v>53</v>
      </c>
      <c r="I65" s="5" t="s">
        <v>54</v>
      </c>
      <c r="J65" s="5" t="s">
        <v>93</v>
      </c>
      <c r="K65" s="6" t="n">
        <v>53.73</v>
      </c>
      <c r="L65" s="5" t="n">
        <v>8</v>
      </c>
      <c r="M65" s="7" t="n">
        <v>0</v>
      </c>
      <c r="N65" s="6" t="n">
        <v>23.81</v>
      </c>
    </row>
    <row r="66" customFormat="false" ht="15" hidden="false" customHeight="false" outlineLevel="0" collapsed="false">
      <c r="A66" s="5" t="s">
        <v>172</v>
      </c>
      <c r="B66" s="5" t="s">
        <v>68</v>
      </c>
      <c r="C66" s="5" t="s">
        <v>42</v>
      </c>
      <c r="D66" s="5" t="s">
        <v>43</v>
      </c>
      <c r="E66" s="5" t="s">
        <v>112</v>
      </c>
      <c r="F66" s="5" t="s">
        <v>63</v>
      </c>
      <c r="G66" s="5" t="n">
        <v>75217</v>
      </c>
      <c r="H66" s="5" t="s">
        <v>64</v>
      </c>
      <c r="I66" s="5" t="s">
        <v>47</v>
      </c>
      <c r="J66" s="5" t="s">
        <v>86</v>
      </c>
      <c r="K66" s="6" t="n">
        <v>282.15</v>
      </c>
      <c r="L66" s="5" t="n">
        <v>6</v>
      </c>
      <c r="M66" s="7" t="n">
        <v>0.2</v>
      </c>
      <c r="N66" s="6" t="n">
        <v>-35.68</v>
      </c>
    </row>
    <row r="67" customFormat="false" ht="15" hidden="false" customHeight="false" outlineLevel="0" collapsed="false">
      <c r="A67" s="5" t="s">
        <v>205</v>
      </c>
      <c r="B67" s="5" t="s">
        <v>83</v>
      </c>
      <c r="C67" s="5" t="s">
        <v>69</v>
      </c>
      <c r="D67" s="5" t="s">
        <v>43</v>
      </c>
      <c r="E67" s="5" t="s">
        <v>112</v>
      </c>
      <c r="F67" s="5" t="s">
        <v>63</v>
      </c>
      <c r="G67" s="5" t="n">
        <v>75217</v>
      </c>
      <c r="H67" s="5" t="s">
        <v>64</v>
      </c>
      <c r="I67" s="5" t="s">
        <v>54</v>
      </c>
      <c r="J67" s="5" t="s">
        <v>93</v>
      </c>
      <c r="K67" s="6" t="n">
        <v>33.95</v>
      </c>
      <c r="L67" s="5" t="n">
        <v>6</v>
      </c>
      <c r="M67" s="7" t="n">
        <v>0</v>
      </c>
      <c r="N67" s="6" t="n">
        <v>9.94</v>
      </c>
    </row>
    <row r="68" customFormat="false" ht="15" hidden="false" customHeight="false" outlineLevel="0" collapsed="false">
      <c r="A68" s="5" t="s">
        <v>135</v>
      </c>
      <c r="B68" s="5" t="s">
        <v>41</v>
      </c>
      <c r="C68" s="5" t="s">
        <v>50</v>
      </c>
      <c r="D68" s="5" t="s">
        <v>43</v>
      </c>
      <c r="E68" s="5" t="s">
        <v>79</v>
      </c>
      <c r="F68" s="5" t="s">
        <v>80</v>
      </c>
      <c r="G68" s="5" t="n">
        <v>2127</v>
      </c>
      <c r="H68" s="5" t="s">
        <v>46</v>
      </c>
      <c r="I68" s="5" t="s">
        <v>54</v>
      </c>
      <c r="J68" s="5" t="s">
        <v>55</v>
      </c>
      <c r="K68" s="6" t="n">
        <v>116.99</v>
      </c>
      <c r="L68" s="5" t="n">
        <v>4</v>
      </c>
      <c r="M68" s="7" t="n">
        <v>0.1</v>
      </c>
      <c r="N68" s="6" t="n">
        <v>30.73</v>
      </c>
    </row>
    <row r="69" customFormat="false" ht="15" hidden="false" customHeight="false" outlineLevel="0" collapsed="false">
      <c r="A69" s="5" t="s">
        <v>188</v>
      </c>
      <c r="B69" s="5" t="s">
        <v>83</v>
      </c>
      <c r="C69" s="5" t="s">
        <v>42</v>
      </c>
      <c r="D69" s="5" t="s">
        <v>43</v>
      </c>
      <c r="E69" s="5" t="s">
        <v>70</v>
      </c>
      <c r="F69" s="5" t="s">
        <v>71</v>
      </c>
      <c r="G69" s="5" t="n">
        <v>80219</v>
      </c>
      <c r="H69" s="5" t="s">
        <v>72</v>
      </c>
      <c r="I69" s="5" t="s">
        <v>65</v>
      </c>
      <c r="J69" s="5" t="s">
        <v>109</v>
      </c>
      <c r="K69" s="6" t="n">
        <v>140.3</v>
      </c>
      <c r="L69" s="5" t="n">
        <v>7</v>
      </c>
      <c r="M69" s="7" t="n">
        <v>0.1</v>
      </c>
      <c r="N69" s="6" t="n">
        <v>37.73</v>
      </c>
    </row>
    <row r="70" customFormat="false" ht="15" hidden="false" customHeight="false" outlineLevel="0" collapsed="false">
      <c r="A70" s="5" t="s">
        <v>126</v>
      </c>
      <c r="B70" s="5" t="s">
        <v>41</v>
      </c>
      <c r="C70" s="5" t="s">
        <v>42</v>
      </c>
      <c r="D70" s="5" t="s">
        <v>43</v>
      </c>
      <c r="E70" s="5" t="s">
        <v>44</v>
      </c>
      <c r="F70" s="5" t="s">
        <v>45</v>
      </c>
      <c r="G70" s="5" t="n">
        <v>10011</v>
      </c>
      <c r="H70" s="5" t="s">
        <v>46</v>
      </c>
      <c r="I70" s="5" t="s">
        <v>47</v>
      </c>
      <c r="J70" s="5" t="s">
        <v>60</v>
      </c>
      <c r="K70" s="6" t="n">
        <v>200</v>
      </c>
      <c r="L70" s="5" t="n">
        <v>5</v>
      </c>
      <c r="M70" s="7" t="n">
        <v>0</v>
      </c>
      <c r="N70" s="6" t="n">
        <v>23.68</v>
      </c>
    </row>
    <row r="71" customFormat="false" ht="15" hidden="false" customHeight="false" outlineLevel="0" collapsed="false">
      <c r="A71" s="5" t="s">
        <v>265</v>
      </c>
      <c r="B71" s="5" t="s">
        <v>68</v>
      </c>
      <c r="C71" s="5" t="s">
        <v>50</v>
      </c>
      <c r="D71" s="5" t="s">
        <v>43</v>
      </c>
      <c r="E71" s="5" t="s">
        <v>70</v>
      </c>
      <c r="F71" s="5" t="s">
        <v>71</v>
      </c>
      <c r="G71" s="5" t="n">
        <v>80219</v>
      </c>
      <c r="H71" s="5" t="s">
        <v>72</v>
      </c>
      <c r="I71" s="5" t="s">
        <v>65</v>
      </c>
      <c r="J71" s="5" t="s">
        <v>109</v>
      </c>
      <c r="K71" s="6" t="n">
        <v>61.14</v>
      </c>
      <c r="L71" s="5" t="n">
        <v>2</v>
      </c>
      <c r="M71" s="7" t="n">
        <v>0.1</v>
      </c>
      <c r="N71" s="6" t="n">
        <v>17.17</v>
      </c>
    </row>
    <row r="72" customFormat="false" ht="15" hidden="false" customHeight="false" outlineLevel="0" collapsed="false">
      <c r="A72" s="5" t="s">
        <v>222</v>
      </c>
      <c r="B72" s="5" t="s">
        <v>57</v>
      </c>
      <c r="C72" s="5" t="s">
        <v>42</v>
      </c>
      <c r="D72" s="5" t="s">
        <v>43</v>
      </c>
      <c r="E72" s="5" t="s">
        <v>107</v>
      </c>
      <c r="F72" s="5" t="s">
        <v>108</v>
      </c>
      <c r="G72" s="5" t="n">
        <v>7102</v>
      </c>
      <c r="H72" s="5" t="s">
        <v>46</v>
      </c>
      <c r="I72" s="5" t="s">
        <v>54</v>
      </c>
      <c r="J72" s="5" t="s">
        <v>77</v>
      </c>
      <c r="K72" s="6" t="n">
        <v>46.5</v>
      </c>
      <c r="L72" s="5" t="n">
        <v>6</v>
      </c>
      <c r="M72" s="7" t="n">
        <v>0</v>
      </c>
      <c r="N72" s="6" t="n">
        <v>20.59</v>
      </c>
    </row>
    <row r="73" customFormat="false" ht="15" hidden="false" customHeight="false" outlineLevel="0" collapsed="false">
      <c r="A73" s="5" t="s">
        <v>121</v>
      </c>
      <c r="B73" s="5" t="s">
        <v>83</v>
      </c>
      <c r="C73" s="5" t="s">
        <v>42</v>
      </c>
      <c r="D73" s="5" t="s">
        <v>43</v>
      </c>
      <c r="E73" s="5" t="s">
        <v>112</v>
      </c>
      <c r="F73" s="5" t="s">
        <v>63</v>
      </c>
      <c r="G73" s="5" t="n">
        <v>75217</v>
      </c>
      <c r="H73" s="5" t="s">
        <v>64</v>
      </c>
      <c r="I73" s="5" t="s">
        <v>65</v>
      </c>
      <c r="J73" s="5" t="s">
        <v>122</v>
      </c>
      <c r="K73" s="6" t="n">
        <v>55.61</v>
      </c>
      <c r="L73" s="5" t="n">
        <v>4</v>
      </c>
      <c r="M73" s="7" t="n">
        <v>0</v>
      </c>
      <c r="N73" s="6" t="n">
        <v>20.27</v>
      </c>
    </row>
    <row r="74" customFormat="false" ht="15" hidden="false" customHeight="false" outlineLevel="0" collapsed="false">
      <c r="A74" s="5" t="s">
        <v>368</v>
      </c>
      <c r="B74" s="5" t="s">
        <v>57</v>
      </c>
      <c r="C74" s="5" t="s">
        <v>69</v>
      </c>
      <c r="D74" s="5" t="s">
        <v>43</v>
      </c>
      <c r="E74" s="5" t="s">
        <v>104</v>
      </c>
      <c r="F74" s="5" t="s">
        <v>105</v>
      </c>
      <c r="G74" s="5" t="n">
        <v>28205</v>
      </c>
      <c r="H74" s="5" t="s">
        <v>53</v>
      </c>
      <c r="I74" s="5" t="s">
        <v>54</v>
      </c>
      <c r="J74" s="5" t="s">
        <v>93</v>
      </c>
      <c r="K74" s="6" t="n">
        <v>161.23</v>
      </c>
      <c r="L74" s="5" t="n">
        <v>8</v>
      </c>
      <c r="M74" s="7" t="n">
        <v>0</v>
      </c>
      <c r="N74" s="6" t="n">
        <v>86.19</v>
      </c>
    </row>
    <row r="75" customFormat="false" ht="15" hidden="false" customHeight="false" outlineLevel="0" collapsed="false">
      <c r="A75" s="5" t="s">
        <v>346</v>
      </c>
      <c r="B75" s="5" t="s">
        <v>68</v>
      </c>
      <c r="C75" s="5" t="s">
        <v>42</v>
      </c>
      <c r="D75" s="5" t="s">
        <v>43</v>
      </c>
      <c r="E75" s="5" t="s">
        <v>104</v>
      </c>
      <c r="F75" s="5" t="s">
        <v>105</v>
      </c>
      <c r="G75" s="5" t="n">
        <v>28205</v>
      </c>
      <c r="H75" s="5" t="s">
        <v>53</v>
      </c>
      <c r="I75" s="5" t="s">
        <v>47</v>
      </c>
      <c r="J75" s="5" t="s">
        <v>86</v>
      </c>
      <c r="K75" s="6" t="n">
        <v>900.42</v>
      </c>
      <c r="L75" s="5" t="n">
        <v>5</v>
      </c>
      <c r="M75" s="7" t="n">
        <v>0.4</v>
      </c>
      <c r="N75" s="6" t="n">
        <v>-174.48</v>
      </c>
    </row>
    <row r="76" customFormat="false" ht="15" hidden="false" customHeight="false" outlineLevel="0" collapsed="false">
      <c r="A76" s="5" t="s">
        <v>355</v>
      </c>
      <c r="B76" s="5" t="s">
        <v>68</v>
      </c>
      <c r="C76" s="5" t="s">
        <v>50</v>
      </c>
      <c r="D76" s="5" t="s">
        <v>43</v>
      </c>
      <c r="E76" s="5" t="s">
        <v>91</v>
      </c>
      <c r="F76" s="5" t="s">
        <v>92</v>
      </c>
      <c r="G76" s="5" t="n">
        <v>33311</v>
      </c>
      <c r="H76" s="5" t="s">
        <v>53</v>
      </c>
      <c r="I76" s="5" t="s">
        <v>54</v>
      </c>
      <c r="J76" s="5" t="s">
        <v>55</v>
      </c>
      <c r="K76" s="6" t="n">
        <v>140.12</v>
      </c>
      <c r="L76" s="5" t="n">
        <v>9</v>
      </c>
      <c r="M76" s="7" t="n">
        <v>0.1</v>
      </c>
      <c r="N76" s="6" t="n">
        <v>51.56</v>
      </c>
    </row>
    <row r="77" customFormat="false" ht="15" hidden="false" customHeight="false" outlineLevel="0" collapsed="false">
      <c r="A77" s="5" t="s">
        <v>106</v>
      </c>
      <c r="B77" s="5" t="s">
        <v>83</v>
      </c>
      <c r="C77" s="5" t="s">
        <v>42</v>
      </c>
      <c r="D77" s="5" t="s">
        <v>43</v>
      </c>
      <c r="E77" s="5" t="s">
        <v>107</v>
      </c>
      <c r="F77" s="5" t="s">
        <v>108</v>
      </c>
      <c r="G77" s="5" t="n">
        <v>7102</v>
      </c>
      <c r="H77" s="5" t="s">
        <v>46</v>
      </c>
      <c r="I77" s="5" t="s">
        <v>65</v>
      </c>
      <c r="J77" s="5" t="s">
        <v>109</v>
      </c>
      <c r="K77" s="6" t="n">
        <v>40.63</v>
      </c>
      <c r="L77" s="5" t="n">
        <v>2</v>
      </c>
      <c r="M77" s="7" t="n">
        <v>0.5</v>
      </c>
      <c r="N77" s="6" t="n">
        <v>-3.42</v>
      </c>
    </row>
    <row r="78" customFormat="false" ht="15" hidden="false" customHeight="false" outlineLevel="0" collapsed="false">
      <c r="A78" s="5" t="s">
        <v>159</v>
      </c>
      <c r="B78" s="5" t="s">
        <v>83</v>
      </c>
      <c r="C78" s="5" t="s">
        <v>50</v>
      </c>
      <c r="D78" s="5" t="s">
        <v>43</v>
      </c>
      <c r="E78" s="5" t="s">
        <v>58</v>
      </c>
      <c r="F78" s="5" t="s">
        <v>59</v>
      </c>
      <c r="G78" s="5" t="n">
        <v>30318</v>
      </c>
      <c r="H78" s="5" t="s">
        <v>53</v>
      </c>
      <c r="I78" s="5" t="s">
        <v>54</v>
      </c>
      <c r="J78" s="5" t="s">
        <v>93</v>
      </c>
      <c r="K78" s="6" t="n">
        <v>253.9</v>
      </c>
      <c r="L78" s="5" t="n">
        <v>8</v>
      </c>
      <c r="M78" s="7" t="n">
        <v>0.7</v>
      </c>
      <c r="N78" s="6" t="n">
        <v>26.11</v>
      </c>
    </row>
    <row r="79" customFormat="false" ht="15" hidden="false" customHeight="false" outlineLevel="0" collapsed="false">
      <c r="A79" s="5" t="s">
        <v>342</v>
      </c>
      <c r="B79" s="5" t="s">
        <v>68</v>
      </c>
      <c r="C79" s="5" t="s">
        <v>42</v>
      </c>
      <c r="D79" s="5" t="s">
        <v>43</v>
      </c>
      <c r="E79" s="5" t="s">
        <v>70</v>
      </c>
      <c r="F79" s="5" t="s">
        <v>71</v>
      </c>
      <c r="G79" s="5" t="n">
        <v>80219</v>
      </c>
      <c r="H79" s="5" t="s">
        <v>72</v>
      </c>
      <c r="I79" s="5" t="s">
        <v>54</v>
      </c>
      <c r="J79" s="5" t="s">
        <v>77</v>
      </c>
      <c r="K79" s="6" t="n">
        <v>142.6</v>
      </c>
      <c r="L79" s="5" t="n">
        <v>8</v>
      </c>
      <c r="M79" s="7" t="n">
        <v>0</v>
      </c>
      <c r="N79" s="6" t="n">
        <v>75.45</v>
      </c>
    </row>
    <row r="80" customFormat="false" ht="15" hidden="false" customHeight="false" outlineLevel="0" collapsed="false">
      <c r="A80" s="5" t="s">
        <v>309</v>
      </c>
      <c r="B80" s="5" t="s">
        <v>83</v>
      </c>
      <c r="C80" s="5" t="s">
        <v>42</v>
      </c>
      <c r="D80" s="5" t="s">
        <v>43</v>
      </c>
      <c r="E80" s="5" t="s">
        <v>100</v>
      </c>
      <c r="F80" s="5" t="s">
        <v>101</v>
      </c>
      <c r="G80" s="5" t="n">
        <v>19140</v>
      </c>
      <c r="H80" s="5" t="s">
        <v>46</v>
      </c>
      <c r="I80" s="5" t="s">
        <v>47</v>
      </c>
      <c r="J80" s="5" t="s">
        <v>86</v>
      </c>
      <c r="K80" s="6" t="n">
        <v>174.23</v>
      </c>
      <c r="L80" s="5" t="n">
        <v>7</v>
      </c>
      <c r="M80" s="7" t="n">
        <v>0.7</v>
      </c>
      <c r="N80" s="6" t="n">
        <v>-82.55</v>
      </c>
    </row>
    <row r="81" customFormat="false" ht="15" hidden="false" customHeight="false" outlineLevel="0" collapsed="false">
      <c r="A81" s="5" t="s">
        <v>175</v>
      </c>
      <c r="B81" s="5" t="s">
        <v>83</v>
      </c>
      <c r="C81" s="5" t="s">
        <v>50</v>
      </c>
      <c r="D81" s="5" t="s">
        <v>43</v>
      </c>
      <c r="E81" s="5" t="s">
        <v>176</v>
      </c>
      <c r="F81" s="5" t="s">
        <v>177</v>
      </c>
      <c r="G81" s="5" t="n">
        <v>55407</v>
      </c>
      <c r="H81" s="5" t="s">
        <v>64</v>
      </c>
      <c r="I81" s="5" t="s">
        <v>65</v>
      </c>
      <c r="J81" s="5" t="s">
        <v>133</v>
      </c>
      <c r="K81" s="6" t="n">
        <v>108.88</v>
      </c>
      <c r="L81" s="5" t="n">
        <v>5</v>
      </c>
      <c r="M81" s="7" t="n">
        <v>0.2</v>
      </c>
      <c r="N81" s="6" t="n">
        <v>34.1</v>
      </c>
    </row>
    <row r="82" customFormat="false" ht="15" hidden="false" customHeight="false" outlineLevel="0" collapsed="false">
      <c r="A82" s="5" t="s">
        <v>195</v>
      </c>
      <c r="B82" s="5" t="s">
        <v>83</v>
      </c>
      <c r="C82" s="5" t="s">
        <v>69</v>
      </c>
      <c r="D82" s="5" t="s">
        <v>43</v>
      </c>
      <c r="E82" s="5" t="s">
        <v>58</v>
      </c>
      <c r="F82" s="5" t="s">
        <v>59</v>
      </c>
      <c r="G82" s="5" t="n">
        <v>30318</v>
      </c>
      <c r="H82" s="5" t="s">
        <v>53</v>
      </c>
      <c r="I82" s="5" t="s">
        <v>54</v>
      </c>
      <c r="J82" s="5" t="s">
        <v>55</v>
      </c>
      <c r="K82" s="6" t="n">
        <v>75.14</v>
      </c>
      <c r="L82" s="5" t="n">
        <v>2</v>
      </c>
      <c r="M82" s="7" t="n">
        <v>0.5</v>
      </c>
      <c r="N82" s="6" t="n">
        <v>6.25</v>
      </c>
    </row>
    <row r="83" customFormat="false" ht="15" hidden="false" customHeight="false" outlineLevel="0" collapsed="false">
      <c r="A83" s="5" t="s">
        <v>219</v>
      </c>
      <c r="B83" s="5" t="s">
        <v>83</v>
      </c>
      <c r="C83" s="5" t="s">
        <v>50</v>
      </c>
      <c r="D83" s="5" t="s">
        <v>43</v>
      </c>
      <c r="E83" s="5" t="s">
        <v>44</v>
      </c>
      <c r="F83" s="5" t="s">
        <v>45</v>
      </c>
      <c r="G83" s="5" t="n">
        <v>10011</v>
      </c>
      <c r="H83" s="5" t="s">
        <v>46</v>
      </c>
      <c r="I83" s="5" t="s">
        <v>47</v>
      </c>
      <c r="J83" s="5" t="s">
        <v>48</v>
      </c>
      <c r="K83" s="6" t="n">
        <v>121.65</v>
      </c>
      <c r="L83" s="5" t="n">
        <v>7</v>
      </c>
      <c r="M83" s="7" t="n">
        <v>0</v>
      </c>
      <c r="N83" s="6" t="n">
        <v>11.71</v>
      </c>
    </row>
    <row r="84" customFormat="false" ht="15" hidden="false" customHeight="false" outlineLevel="0" collapsed="false">
      <c r="A84" s="5" t="s">
        <v>293</v>
      </c>
      <c r="B84" s="5" t="s">
        <v>68</v>
      </c>
      <c r="C84" s="5" t="s">
        <v>69</v>
      </c>
      <c r="D84" s="5" t="s">
        <v>43</v>
      </c>
      <c r="E84" s="5" t="s">
        <v>104</v>
      </c>
      <c r="F84" s="5" t="s">
        <v>105</v>
      </c>
      <c r="G84" s="5" t="n">
        <v>28205</v>
      </c>
      <c r="H84" s="5" t="s">
        <v>53</v>
      </c>
      <c r="I84" s="5" t="s">
        <v>54</v>
      </c>
      <c r="J84" s="5" t="s">
        <v>93</v>
      </c>
      <c r="K84" s="6" t="n">
        <v>13.45</v>
      </c>
      <c r="L84" s="5" t="n">
        <v>5</v>
      </c>
      <c r="M84" s="7" t="n">
        <v>0</v>
      </c>
      <c r="N84" s="6" t="n">
        <v>6.92</v>
      </c>
    </row>
    <row r="85" customFormat="false" ht="15" hidden="false" customHeight="false" outlineLevel="0" collapsed="false">
      <c r="A85" s="5" t="s">
        <v>378</v>
      </c>
      <c r="B85" s="5" t="s">
        <v>68</v>
      </c>
      <c r="C85" s="5" t="s">
        <v>50</v>
      </c>
      <c r="D85" s="5" t="s">
        <v>43</v>
      </c>
      <c r="E85" s="5" t="s">
        <v>70</v>
      </c>
      <c r="F85" s="5" t="s">
        <v>71</v>
      </c>
      <c r="G85" s="5" t="n">
        <v>80219</v>
      </c>
      <c r="H85" s="5" t="s">
        <v>72</v>
      </c>
      <c r="I85" s="5" t="s">
        <v>65</v>
      </c>
      <c r="J85" s="5" t="s">
        <v>120</v>
      </c>
      <c r="K85" s="6" t="n">
        <v>36.94</v>
      </c>
      <c r="L85" s="5" t="n">
        <v>6</v>
      </c>
      <c r="M85" s="7" t="n">
        <v>0.2</v>
      </c>
      <c r="N85" s="6" t="n">
        <v>5.44</v>
      </c>
    </row>
    <row r="86" customFormat="false" ht="15" hidden="false" customHeight="false" outlineLevel="0" collapsed="false">
      <c r="A86" s="5" t="s">
        <v>241</v>
      </c>
      <c r="B86" s="5" t="s">
        <v>68</v>
      </c>
      <c r="C86" s="5" t="s">
        <v>50</v>
      </c>
      <c r="D86" s="5" t="s">
        <v>43</v>
      </c>
      <c r="E86" s="5" t="s">
        <v>107</v>
      </c>
      <c r="F86" s="5" t="s">
        <v>108</v>
      </c>
      <c r="G86" s="5" t="n">
        <v>7102</v>
      </c>
      <c r="H86" s="5" t="s">
        <v>46</v>
      </c>
      <c r="I86" s="5" t="s">
        <v>47</v>
      </c>
      <c r="J86" s="5" t="s">
        <v>86</v>
      </c>
      <c r="K86" s="6" t="n">
        <v>37.12</v>
      </c>
      <c r="L86" s="5" t="n">
        <v>1</v>
      </c>
      <c r="M86" s="7" t="n">
        <v>0.2</v>
      </c>
      <c r="N86" s="6" t="n">
        <v>-4.51</v>
      </c>
    </row>
    <row r="87" customFormat="false" ht="15" hidden="false" customHeight="false" outlineLevel="0" collapsed="false">
      <c r="A87" s="5" t="s">
        <v>385</v>
      </c>
      <c r="B87" s="5" t="s">
        <v>68</v>
      </c>
      <c r="C87" s="5" t="s">
        <v>42</v>
      </c>
      <c r="D87" s="5" t="s">
        <v>43</v>
      </c>
      <c r="E87" s="5" t="s">
        <v>114</v>
      </c>
      <c r="F87" s="5" t="s">
        <v>115</v>
      </c>
      <c r="G87" s="5" t="n">
        <v>90036</v>
      </c>
      <c r="H87" s="5" t="s">
        <v>72</v>
      </c>
      <c r="I87" s="5" t="s">
        <v>47</v>
      </c>
      <c r="J87" s="5" t="s">
        <v>48</v>
      </c>
      <c r="K87" s="6" t="n">
        <v>86.45</v>
      </c>
      <c r="L87" s="5" t="n">
        <v>5</v>
      </c>
      <c r="M87" s="7" t="n">
        <v>0.1</v>
      </c>
      <c r="N87" s="6" t="n">
        <v>11.62</v>
      </c>
    </row>
    <row r="88" customFormat="false" ht="15" hidden="false" customHeight="false" outlineLevel="0" collapsed="false">
      <c r="A88" s="5" t="s">
        <v>321</v>
      </c>
      <c r="B88" s="5" t="s">
        <v>41</v>
      </c>
      <c r="C88" s="5" t="s">
        <v>50</v>
      </c>
      <c r="D88" s="5" t="s">
        <v>43</v>
      </c>
      <c r="E88" s="5" t="s">
        <v>91</v>
      </c>
      <c r="F88" s="5" t="s">
        <v>92</v>
      </c>
      <c r="G88" s="5" t="n">
        <v>33311</v>
      </c>
      <c r="H88" s="5" t="s">
        <v>53</v>
      </c>
      <c r="I88" s="5" t="s">
        <v>65</v>
      </c>
      <c r="J88" s="5" t="s">
        <v>109</v>
      </c>
      <c r="K88" s="6" t="n">
        <v>85.42</v>
      </c>
      <c r="L88" s="5" t="n">
        <v>4</v>
      </c>
      <c r="M88" s="7" t="n">
        <v>0</v>
      </c>
      <c r="N88" s="6" t="n">
        <v>26.34</v>
      </c>
    </row>
    <row r="89" customFormat="false" ht="15" hidden="false" customHeight="false" outlineLevel="0" collapsed="false">
      <c r="A89" s="5" t="s">
        <v>236</v>
      </c>
      <c r="B89" s="5" t="s">
        <v>68</v>
      </c>
      <c r="C89" s="5" t="s">
        <v>50</v>
      </c>
      <c r="D89" s="5" t="s">
        <v>43</v>
      </c>
      <c r="E89" s="5" t="s">
        <v>104</v>
      </c>
      <c r="F89" s="5" t="s">
        <v>105</v>
      </c>
      <c r="G89" s="5" t="n">
        <v>28205</v>
      </c>
      <c r="H89" s="5" t="s">
        <v>53</v>
      </c>
      <c r="I89" s="5" t="s">
        <v>65</v>
      </c>
      <c r="J89" s="5" t="s">
        <v>88</v>
      </c>
      <c r="K89" s="6" t="n">
        <v>20.45</v>
      </c>
      <c r="L89" s="5" t="n">
        <v>6</v>
      </c>
      <c r="M89" s="7" t="n">
        <v>0.2</v>
      </c>
      <c r="N89" s="6" t="n">
        <v>2.51</v>
      </c>
    </row>
    <row r="90" customFormat="false" ht="15" hidden="false" customHeight="false" outlineLevel="0" collapsed="false">
      <c r="A90" s="5" t="s">
        <v>356</v>
      </c>
      <c r="B90" s="5" t="s">
        <v>83</v>
      </c>
      <c r="C90" s="5" t="s">
        <v>50</v>
      </c>
      <c r="D90" s="5" t="s">
        <v>43</v>
      </c>
      <c r="E90" s="5" t="s">
        <v>176</v>
      </c>
      <c r="F90" s="5" t="s">
        <v>177</v>
      </c>
      <c r="G90" s="5" t="n">
        <v>55407</v>
      </c>
      <c r="H90" s="5" t="s">
        <v>64</v>
      </c>
      <c r="I90" s="5" t="s">
        <v>54</v>
      </c>
      <c r="J90" s="5" t="s">
        <v>77</v>
      </c>
      <c r="K90" s="6" t="n">
        <v>111.82</v>
      </c>
      <c r="L90" s="5" t="n">
        <v>9</v>
      </c>
      <c r="M90" s="7" t="n">
        <v>0.3</v>
      </c>
      <c r="N90" s="6" t="n">
        <v>38.71</v>
      </c>
    </row>
    <row r="91" customFormat="false" ht="15" hidden="false" customHeight="false" outlineLevel="0" collapsed="false">
      <c r="A91" s="5" t="s">
        <v>316</v>
      </c>
      <c r="B91" s="5" t="s">
        <v>83</v>
      </c>
      <c r="C91" s="5" t="s">
        <v>50</v>
      </c>
      <c r="D91" s="5" t="s">
        <v>43</v>
      </c>
      <c r="E91" s="5" t="s">
        <v>95</v>
      </c>
      <c r="F91" s="5" t="s">
        <v>96</v>
      </c>
      <c r="G91" s="5" t="n">
        <v>97206</v>
      </c>
      <c r="H91" s="5" t="s">
        <v>72</v>
      </c>
      <c r="I91" s="5" t="s">
        <v>47</v>
      </c>
      <c r="J91" s="5" t="s">
        <v>60</v>
      </c>
      <c r="K91" s="6" t="n">
        <v>2261.16</v>
      </c>
      <c r="L91" s="5" t="n">
        <v>1</v>
      </c>
      <c r="M91" s="7" t="n">
        <v>0.5</v>
      </c>
      <c r="N91" s="6" t="n">
        <v>-236.18</v>
      </c>
    </row>
    <row r="92" customFormat="false" ht="15" hidden="false" customHeight="false" outlineLevel="0" collapsed="false">
      <c r="A92" s="5" t="s">
        <v>334</v>
      </c>
      <c r="B92" s="5" t="s">
        <v>83</v>
      </c>
      <c r="C92" s="5" t="s">
        <v>42</v>
      </c>
      <c r="D92" s="5" t="s">
        <v>43</v>
      </c>
      <c r="E92" s="5" t="s">
        <v>107</v>
      </c>
      <c r="F92" s="5" t="s">
        <v>108</v>
      </c>
      <c r="G92" s="5" t="n">
        <v>7102</v>
      </c>
      <c r="H92" s="5" t="s">
        <v>46</v>
      </c>
      <c r="I92" s="5" t="s">
        <v>65</v>
      </c>
      <c r="J92" s="5" t="s">
        <v>133</v>
      </c>
      <c r="K92" s="6" t="n">
        <v>30.51</v>
      </c>
      <c r="L92" s="5" t="n">
        <v>7</v>
      </c>
      <c r="M92" s="7" t="n">
        <v>0.15</v>
      </c>
      <c r="N92" s="6" t="n">
        <v>7.91</v>
      </c>
    </row>
    <row r="93" customFormat="false" ht="15" hidden="false" customHeight="false" outlineLevel="0" collapsed="false">
      <c r="A93" s="5" t="s">
        <v>174</v>
      </c>
      <c r="B93" s="5" t="s">
        <v>41</v>
      </c>
      <c r="C93" s="5" t="s">
        <v>50</v>
      </c>
      <c r="D93" s="5" t="s">
        <v>43</v>
      </c>
      <c r="E93" s="5" t="s">
        <v>104</v>
      </c>
      <c r="F93" s="5" t="s">
        <v>105</v>
      </c>
      <c r="G93" s="5" t="n">
        <v>28205</v>
      </c>
      <c r="H93" s="5" t="s">
        <v>53</v>
      </c>
      <c r="I93" s="5" t="s">
        <v>65</v>
      </c>
      <c r="J93" s="5" t="s">
        <v>88</v>
      </c>
      <c r="K93" s="6" t="n">
        <v>14.11</v>
      </c>
      <c r="L93" s="5" t="n">
        <v>4</v>
      </c>
      <c r="M93" s="7" t="n">
        <v>0</v>
      </c>
      <c r="N93" s="6" t="n">
        <v>1.15</v>
      </c>
    </row>
    <row r="94" customFormat="false" ht="15" hidden="false" customHeight="false" outlineLevel="0" collapsed="false">
      <c r="A94" s="5" t="s">
        <v>131</v>
      </c>
      <c r="B94" s="5" t="s">
        <v>68</v>
      </c>
      <c r="C94" s="5" t="s">
        <v>50</v>
      </c>
      <c r="D94" s="5" t="s">
        <v>43</v>
      </c>
      <c r="E94" s="5" t="s">
        <v>95</v>
      </c>
      <c r="F94" s="5" t="s">
        <v>96</v>
      </c>
      <c r="G94" s="5" t="n">
        <v>97206</v>
      </c>
      <c r="H94" s="5" t="s">
        <v>72</v>
      </c>
      <c r="I94" s="5" t="s">
        <v>47</v>
      </c>
      <c r="J94" s="5" t="s">
        <v>48</v>
      </c>
      <c r="K94" s="6" t="n">
        <v>23.49</v>
      </c>
      <c r="L94" s="5" t="n">
        <v>5</v>
      </c>
      <c r="M94" s="7" t="n">
        <v>0.15</v>
      </c>
      <c r="N94" s="6" t="n">
        <v>0.74</v>
      </c>
    </row>
    <row r="95" customFormat="false" ht="15" hidden="false" customHeight="false" outlineLevel="0" collapsed="false">
      <c r="A95" s="5" t="s">
        <v>376</v>
      </c>
      <c r="B95" s="5" t="s">
        <v>68</v>
      </c>
      <c r="C95" s="5" t="s">
        <v>69</v>
      </c>
      <c r="D95" s="5" t="s">
        <v>43</v>
      </c>
      <c r="E95" s="5" t="s">
        <v>112</v>
      </c>
      <c r="F95" s="5" t="s">
        <v>63</v>
      </c>
      <c r="G95" s="5" t="n">
        <v>75217</v>
      </c>
      <c r="H95" s="5" t="s">
        <v>64</v>
      </c>
      <c r="I95" s="5" t="s">
        <v>65</v>
      </c>
      <c r="J95" s="5" t="s">
        <v>120</v>
      </c>
      <c r="K95" s="6" t="n">
        <v>15.89</v>
      </c>
      <c r="L95" s="5" t="n">
        <v>4</v>
      </c>
      <c r="M95" s="7" t="n">
        <v>0.7</v>
      </c>
      <c r="N95" s="6" t="n">
        <v>-1.1</v>
      </c>
    </row>
    <row r="96" customFormat="false" ht="15" hidden="false" customHeight="false" outlineLevel="0" collapsed="false">
      <c r="A96" s="5" t="s">
        <v>207</v>
      </c>
      <c r="B96" s="5" t="s">
        <v>41</v>
      </c>
      <c r="C96" s="5" t="s">
        <v>69</v>
      </c>
      <c r="D96" s="5" t="s">
        <v>43</v>
      </c>
      <c r="E96" s="5" t="s">
        <v>79</v>
      </c>
      <c r="F96" s="5" t="s">
        <v>80</v>
      </c>
      <c r="G96" s="5" t="n">
        <v>2127</v>
      </c>
      <c r="H96" s="5" t="s">
        <v>46</v>
      </c>
      <c r="I96" s="5" t="s">
        <v>47</v>
      </c>
      <c r="J96" s="5" t="s">
        <v>48</v>
      </c>
      <c r="K96" s="6" t="n">
        <v>152.45</v>
      </c>
      <c r="L96" s="5" t="n">
        <v>2</v>
      </c>
      <c r="M96" s="7" t="n">
        <v>0.2</v>
      </c>
      <c r="N96" s="6" t="n">
        <v>7.25</v>
      </c>
    </row>
    <row r="97" customFormat="false" ht="15" hidden="false" customHeight="false" outlineLevel="0" collapsed="false">
      <c r="A97" s="5" t="s">
        <v>380</v>
      </c>
      <c r="B97" s="5" t="s">
        <v>41</v>
      </c>
      <c r="C97" s="5" t="s">
        <v>50</v>
      </c>
      <c r="D97" s="5" t="s">
        <v>43</v>
      </c>
      <c r="E97" s="5" t="s">
        <v>112</v>
      </c>
      <c r="F97" s="5" t="s">
        <v>63</v>
      </c>
      <c r="G97" s="5" t="n">
        <v>75217</v>
      </c>
      <c r="H97" s="5" t="s">
        <v>64</v>
      </c>
      <c r="I97" s="5" t="s">
        <v>65</v>
      </c>
      <c r="J97" s="5" t="s">
        <v>66</v>
      </c>
      <c r="K97" s="6" t="n">
        <v>50.22</v>
      </c>
      <c r="L97" s="5" t="n">
        <v>8</v>
      </c>
      <c r="M97" s="7" t="n">
        <v>0.7</v>
      </c>
      <c r="N97" s="6" t="n">
        <v>-6.57</v>
      </c>
    </row>
    <row r="98" customFormat="false" ht="15" hidden="false" customHeight="false" outlineLevel="0" collapsed="false">
      <c r="A98" s="5" t="s">
        <v>281</v>
      </c>
      <c r="B98" s="5" t="s">
        <v>57</v>
      </c>
      <c r="C98" s="5" t="s">
        <v>42</v>
      </c>
      <c r="D98" s="5" t="s">
        <v>43</v>
      </c>
      <c r="E98" s="5" t="s">
        <v>75</v>
      </c>
      <c r="F98" s="5" t="s">
        <v>76</v>
      </c>
      <c r="G98" s="5" t="n">
        <v>60610</v>
      </c>
      <c r="H98" s="5" t="s">
        <v>64</v>
      </c>
      <c r="I98" s="5" t="s">
        <v>47</v>
      </c>
      <c r="J98" s="5" t="s">
        <v>48</v>
      </c>
      <c r="K98" s="6" t="n">
        <v>19.63</v>
      </c>
      <c r="L98" s="5" t="n">
        <v>6</v>
      </c>
      <c r="M98" s="7" t="n">
        <v>0</v>
      </c>
      <c r="N98" s="6" t="n">
        <v>1.87</v>
      </c>
    </row>
    <row r="99" customFormat="false" ht="15" hidden="false" customHeight="false" outlineLevel="0" collapsed="false">
      <c r="A99" s="5" t="s">
        <v>326</v>
      </c>
      <c r="B99" s="5" t="s">
        <v>68</v>
      </c>
      <c r="C99" s="5" t="s">
        <v>69</v>
      </c>
      <c r="D99" s="5" t="s">
        <v>43</v>
      </c>
      <c r="E99" s="5" t="s">
        <v>91</v>
      </c>
      <c r="F99" s="5" t="s">
        <v>92</v>
      </c>
      <c r="G99" s="5" t="n">
        <v>33311</v>
      </c>
      <c r="H99" s="5" t="s">
        <v>53</v>
      </c>
      <c r="I99" s="5" t="s">
        <v>47</v>
      </c>
      <c r="J99" s="5" t="s">
        <v>84</v>
      </c>
      <c r="K99" s="6" t="n">
        <v>63.82</v>
      </c>
      <c r="L99" s="5" t="n">
        <v>9</v>
      </c>
      <c r="M99" s="7" t="n">
        <v>0.7</v>
      </c>
      <c r="N99" s="6" t="n">
        <v>-25.67</v>
      </c>
    </row>
    <row r="100" customFormat="false" ht="15" hidden="false" customHeight="false" outlineLevel="0" collapsed="false">
      <c r="A100" s="5" t="s">
        <v>312</v>
      </c>
      <c r="B100" s="5" t="s">
        <v>83</v>
      </c>
      <c r="C100" s="5" t="s">
        <v>69</v>
      </c>
      <c r="D100" s="5" t="s">
        <v>43</v>
      </c>
      <c r="E100" s="5" t="s">
        <v>51</v>
      </c>
      <c r="F100" s="5" t="s">
        <v>52</v>
      </c>
      <c r="G100" s="5" t="n">
        <v>37211</v>
      </c>
      <c r="H100" s="5" t="s">
        <v>53</v>
      </c>
      <c r="I100" s="5" t="s">
        <v>54</v>
      </c>
      <c r="J100" s="5" t="s">
        <v>77</v>
      </c>
      <c r="K100" s="6" t="n">
        <v>140.56</v>
      </c>
      <c r="L100" s="5" t="n">
        <v>8</v>
      </c>
      <c r="M100" s="7" t="n">
        <v>0</v>
      </c>
      <c r="N100" s="6" t="n">
        <v>72.64</v>
      </c>
    </row>
    <row r="101" customFormat="false" ht="15" hidden="false" customHeight="false" outlineLevel="0" collapsed="false">
      <c r="A101" s="5" t="s">
        <v>291</v>
      </c>
      <c r="B101" s="5" t="s">
        <v>83</v>
      </c>
      <c r="C101" s="5" t="s">
        <v>69</v>
      </c>
      <c r="D101" s="5" t="s">
        <v>43</v>
      </c>
      <c r="E101" s="5" t="s">
        <v>100</v>
      </c>
      <c r="F101" s="5" t="s">
        <v>101</v>
      </c>
      <c r="G101" s="5" t="n">
        <v>19140</v>
      </c>
      <c r="H101" s="5" t="s">
        <v>46</v>
      </c>
      <c r="I101" s="5" t="s">
        <v>65</v>
      </c>
      <c r="J101" s="5" t="s">
        <v>138</v>
      </c>
      <c r="K101" s="6" t="n">
        <v>68.6</v>
      </c>
      <c r="L101" s="5" t="n">
        <v>9</v>
      </c>
      <c r="M101" s="7" t="n">
        <v>0.2</v>
      </c>
      <c r="N101" s="6" t="n">
        <v>11.91</v>
      </c>
    </row>
    <row r="102" customFormat="false" ht="15" hidden="false" customHeight="false" outlineLevel="0" collapsed="false">
      <c r="A102" s="5" t="s">
        <v>160</v>
      </c>
      <c r="B102" s="5" t="s">
        <v>83</v>
      </c>
      <c r="C102" s="5" t="s">
        <v>42</v>
      </c>
      <c r="D102" s="5" t="s">
        <v>43</v>
      </c>
      <c r="E102" s="5" t="s">
        <v>75</v>
      </c>
      <c r="F102" s="5" t="s">
        <v>76</v>
      </c>
      <c r="G102" s="5" t="n">
        <v>60610</v>
      </c>
      <c r="H102" s="5" t="s">
        <v>64</v>
      </c>
      <c r="I102" s="5" t="s">
        <v>65</v>
      </c>
      <c r="J102" s="5" t="s">
        <v>138</v>
      </c>
      <c r="K102" s="6" t="n">
        <v>166.38</v>
      </c>
      <c r="L102" s="5" t="n">
        <v>2</v>
      </c>
      <c r="M102" s="7" t="n">
        <v>0.3</v>
      </c>
      <c r="N102" s="6" t="n">
        <v>5.95</v>
      </c>
    </row>
    <row r="103" customFormat="false" ht="15" hidden="false" customHeight="false" outlineLevel="0" collapsed="false">
      <c r="A103" s="5" t="s">
        <v>331</v>
      </c>
      <c r="B103" s="5" t="s">
        <v>83</v>
      </c>
      <c r="C103" s="5" t="s">
        <v>42</v>
      </c>
      <c r="D103" s="5" t="s">
        <v>43</v>
      </c>
      <c r="E103" s="5" t="s">
        <v>58</v>
      </c>
      <c r="F103" s="5" t="s">
        <v>59</v>
      </c>
      <c r="G103" s="5" t="n">
        <v>30318</v>
      </c>
      <c r="H103" s="5" t="s">
        <v>53</v>
      </c>
      <c r="I103" s="5" t="s">
        <v>65</v>
      </c>
      <c r="J103" s="5" t="s">
        <v>124</v>
      </c>
      <c r="K103" s="6" t="n">
        <v>68.39</v>
      </c>
      <c r="L103" s="5" t="n">
        <v>7</v>
      </c>
      <c r="M103" s="7" t="n">
        <v>0</v>
      </c>
      <c r="N103" s="6" t="n">
        <v>22.99</v>
      </c>
    </row>
    <row r="104" customFormat="false" ht="15" hidden="false" customHeight="false" outlineLevel="0" collapsed="false">
      <c r="A104" s="5" t="s">
        <v>221</v>
      </c>
      <c r="B104" s="5" t="s">
        <v>83</v>
      </c>
      <c r="C104" s="5" t="s">
        <v>42</v>
      </c>
      <c r="D104" s="5" t="s">
        <v>43</v>
      </c>
      <c r="E104" s="5" t="s">
        <v>44</v>
      </c>
      <c r="F104" s="5" t="s">
        <v>45</v>
      </c>
      <c r="G104" s="5" t="n">
        <v>10011</v>
      </c>
      <c r="H104" s="5" t="s">
        <v>46</v>
      </c>
      <c r="I104" s="5" t="s">
        <v>65</v>
      </c>
      <c r="J104" s="5" t="s">
        <v>81</v>
      </c>
      <c r="K104" s="6" t="n">
        <v>113.83</v>
      </c>
      <c r="L104" s="5" t="n">
        <v>1</v>
      </c>
      <c r="M104" s="7" t="n">
        <v>0.1</v>
      </c>
      <c r="N104" s="6" t="n">
        <v>32.6</v>
      </c>
    </row>
    <row r="105" customFormat="false" ht="15" hidden="false" customHeight="false" outlineLevel="0" collapsed="false">
      <c r="A105" s="5" t="s">
        <v>117</v>
      </c>
      <c r="B105" s="5" t="s">
        <v>41</v>
      </c>
      <c r="C105" s="5" t="s">
        <v>42</v>
      </c>
      <c r="D105" s="5" t="s">
        <v>43</v>
      </c>
      <c r="E105" s="5" t="s">
        <v>118</v>
      </c>
      <c r="F105" s="5" t="s">
        <v>119</v>
      </c>
      <c r="G105" s="5" t="n">
        <v>98103</v>
      </c>
      <c r="H105" s="5" t="s">
        <v>72</v>
      </c>
      <c r="I105" s="5" t="s">
        <v>65</v>
      </c>
      <c r="J105" s="5" t="s">
        <v>120</v>
      </c>
      <c r="K105" s="6" t="n">
        <v>74.16</v>
      </c>
      <c r="L105" s="5" t="n">
        <v>5</v>
      </c>
      <c r="M105" s="7" t="n">
        <v>0.4</v>
      </c>
      <c r="N105" s="6" t="n">
        <v>2.67</v>
      </c>
    </row>
    <row r="106" customFormat="false" ht="15" hidden="false" customHeight="false" outlineLevel="0" collapsed="false">
      <c r="A106" s="5" t="s">
        <v>237</v>
      </c>
      <c r="B106" s="5" t="s">
        <v>41</v>
      </c>
      <c r="C106" s="5" t="s">
        <v>42</v>
      </c>
      <c r="D106" s="5" t="s">
        <v>43</v>
      </c>
      <c r="E106" s="5" t="s">
        <v>91</v>
      </c>
      <c r="F106" s="5" t="s">
        <v>92</v>
      </c>
      <c r="G106" s="5" t="n">
        <v>33311</v>
      </c>
      <c r="H106" s="5" t="s">
        <v>53</v>
      </c>
      <c r="I106" s="5" t="s">
        <v>65</v>
      </c>
      <c r="J106" s="5" t="s">
        <v>88</v>
      </c>
      <c r="K106" s="6" t="n">
        <v>20.49</v>
      </c>
      <c r="L106" s="5" t="n">
        <v>9</v>
      </c>
      <c r="M106" s="7" t="n">
        <v>0.7</v>
      </c>
      <c r="N106" s="6" t="n">
        <v>-3</v>
      </c>
    </row>
    <row r="107" customFormat="false" ht="15" hidden="false" customHeight="false" outlineLevel="0" collapsed="false">
      <c r="A107" s="5" t="s">
        <v>153</v>
      </c>
      <c r="B107" s="5" t="s">
        <v>83</v>
      </c>
      <c r="C107" s="5" t="s">
        <v>50</v>
      </c>
      <c r="D107" s="5" t="s">
        <v>43</v>
      </c>
      <c r="E107" s="5" t="s">
        <v>70</v>
      </c>
      <c r="F107" s="5" t="s">
        <v>71</v>
      </c>
      <c r="G107" s="5" t="n">
        <v>80219</v>
      </c>
      <c r="H107" s="5" t="s">
        <v>72</v>
      </c>
      <c r="I107" s="5" t="s">
        <v>65</v>
      </c>
      <c r="J107" s="5" t="s">
        <v>66</v>
      </c>
      <c r="K107" s="6" t="n">
        <v>87.3</v>
      </c>
      <c r="L107" s="5" t="n">
        <v>3</v>
      </c>
      <c r="M107" s="7" t="n">
        <v>0.5</v>
      </c>
      <c r="N107" s="6" t="n">
        <v>-6.59</v>
      </c>
    </row>
    <row r="108" customFormat="false" ht="15" hidden="false" customHeight="false" outlineLevel="0" collapsed="false">
      <c r="A108" s="5" t="s">
        <v>383</v>
      </c>
      <c r="B108" s="5" t="s">
        <v>41</v>
      </c>
      <c r="C108" s="5" t="s">
        <v>69</v>
      </c>
      <c r="D108" s="5" t="s">
        <v>43</v>
      </c>
      <c r="E108" s="5" t="s">
        <v>100</v>
      </c>
      <c r="F108" s="5" t="s">
        <v>101</v>
      </c>
      <c r="G108" s="5" t="n">
        <v>19140</v>
      </c>
      <c r="H108" s="5" t="s">
        <v>46</v>
      </c>
      <c r="I108" s="5" t="s">
        <v>65</v>
      </c>
      <c r="J108" s="5" t="s">
        <v>124</v>
      </c>
      <c r="K108" s="6" t="n">
        <v>133.14</v>
      </c>
      <c r="L108" s="5" t="n">
        <v>9</v>
      </c>
      <c r="M108" s="7" t="n">
        <v>0.3</v>
      </c>
      <c r="N108" s="6" t="n">
        <v>6.13</v>
      </c>
    </row>
    <row r="109" customFormat="false" ht="15" hidden="false" customHeight="false" outlineLevel="0" collapsed="false">
      <c r="A109" s="5" t="s">
        <v>267</v>
      </c>
      <c r="B109" s="5" t="s">
        <v>41</v>
      </c>
      <c r="C109" s="5" t="s">
        <v>50</v>
      </c>
      <c r="D109" s="5" t="s">
        <v>43</v>
      </c>
      <c r="E109" s="5" t="s">
        <v>62</v>
      </c>
      <c r="F109" s="5" t="s">
        <v>63</v>
      </c>
      <c r="G109" s="5" t="n">
        <v>77095</v>
      </c>
      <c r="H109" s="5" t="s">
        <v>64</v>
      </c>
      <c r="I109" s="5" t="s">
        <v>54</v>
      </c>
      <c r="J109" s="5" t="s">
        <v>77</v>
      </c>
      <c r="K109" s="6" t="n">
        <v>158.69</v>
      </c>
      <c r="L109" s="5" t="n">
        <v>3</v>
      </c>
      <c r="M109" s="7" t="n">
        <v>0.2</v>
      </c>
      <c r="N109" s="6" t="n">
        <v>55.64</v>
      </c>
    </row>
    <row r="110" customFormat="false" ht="15" hidden="false" customHeight="false" outlineLevel="0" collapsed="false">
      <c r="A110" s="5" t="s">
        <v>218</v>
      </c>
      <c r="B110" s="5" t="s">
        <v>68</v>
      </c>
      <c r="C110" s="5" t="s">
        <v>50</v>
      </c>
      <c r="D110" s="5" t="s">
        <v>43</v>
      </c>
      <c r="E110" s="5" t="s">
        <v>70</v>
      </c>
      <c r="F110" s="5" t="s">
        <v>71</v>
      </c>
      <c r="G110" s="5" t="n">
        <v>80219</v>
      </c>
      <c r="H110" s="5" t="s">
        <v>72</v>
      </c>
      <c r="I110" s="5" t="s">
        <v>65</v>
      </c>
      <c r="J110" s="5" t="s">
        <v>109</v>
      </c>
      <c r="K110" s="6" t="n">
        <v>173.48</v>
      </c>
      <c r="L110" s="5" t="n">
        <v>6</v>
      </c>
      <c r="M110" s="7" t="n">
        <v>0.2</v>
      </c>
      <c r="N110" s="6" t="n">
        <v>25.6</v>
      </c>
    </row>
    <row r="111" customFormat="false" ht="15" hidden="false" customHeight="false" outlineLevel="0" collapsed="false">
      <c r="A111" s="5" t="s">
        <v>357</v>
      </c>
      <c r="B111" s="5" t="s">
        <v>68</v>
      </c>
      <c r="C111" s="5" t="s">
        <v>42</v>
      </c>
      <c r="D111" s="5" t="s">
        <v>43</v>
      </c>
      <c r="E111" s="5" t="s">
        <v>79</v>
      </c>
      <c r="F111" s="5" t="s">
        <v>80</v>
      </c>
      <c r="G111" s="5" t="n">
        <v>2127</v>
      </c>
      <c r="H111" s="5" t="s">
        <v>46</v>
      </c>
      <c r="I111" s="5" t="s">
        <v>54</v>
      </c>
      <c r="J111" s="5" t="s">
        <v>93</v>
      </c>
      <c r="K111" s="6" t="n">
        <v>107.8</v>
      </c>
      <c r="L111" s="5" t="n">
        <v>9</v>
      </c>
      <c r="M111" s="7" t="n">
        <v>0</v>
      </c>
      <c r="N111" s="6" t="n">
        <v>60.33</v>
      </c>
    </row>
    <row r="112" customFormat="false" ht="15" hidden="false" customHeight="false" outlineLevel="0" collapsed="false">
      <c r="A112" s="5" t="s">
        <v>200</v>
      </c>
      <c r="B112" s="5" t="s">
        <v>57</v>
      </c>
      <c r="C112" s="5" t="s">
        <v>69</v>
      </c>
      <c r="D112" s="5" t="s">
        <v>43</v>
      </c>
      <c r="E112" s="5" t="s">
        <v>104</v>
      </c>
      <c r="F112" s="5" t="s">
        <v>105</v>
      </c>
      <c r="G112" s="5" t="n">
        <v>28205</v>
      </c>
      <c r="H112" s="5" t="s">
        <v>53</v>
      </c>
      <c r="I112" s="5" t="s">
        <v>47</v>
      </c>
      <c r="J112" s="5" t="s">
        <v>48</v>
      </c>
      <c r="K112" s="6" t="n">
        <v>67.19</v>
      </c>
      <c r="L112" s="5" t="n">
        <v>2</v>
      </c>
      <c r="M112" s="7" t="n">
        <v>0.15</v>
      </c>
      <c r="N112" s="6" t="n">
        <v>6.7</v>
      </c>
    </row>
    <row r="113" customFormat="false" ht="15" hidden="false" customHeight="false" outlineLevel="0" collapsed="false">
      <c r="A113" s="5" t="s">
        <v>361</v>
      </c>
      <c r="B113" s="5" t="s">
        <v>41</v>
      </c>
      <c r="C113" s="5" t="s">
        <v>50</v>
      </c>
      <c r="D113" s="5" t="s">
        <v>43</v>
      </c>
      <c r="E113" s="5" t="s">
        <v>51</v>
      </c>
      <c r="F113" s="5" t="s">
        <v>52</v>
      </c>
      <c r="G113" s="5" t="n">
        <v>37211</v>
      </c>
      <c r="H113" s="5" t="s">
        <v>53</v>
      </c>
      <c r="I113" s="5" t="s">
        <v>65</v>
      </c>
      <c r="J113" s="5" t="s">
        <v>81</v>
      </c>
      <c r="K113" s="6" t="n">
        <v>46.3</v>
      </c>
      <c r="L113" s="5" t="n">
        <v>5</v>
      </c>
      <c r="M113" s="7" t="n">
        <v>0</v>
      </c>
      <c r="N113" s="6" t="n">
        <v>15.16</v>
      </c>
    </row>
    <row r="114" customFormat="false" ht="15" hidden="false" customHeight="false" outlineLevel="0" collapsed="false">
      <c r="A114" s="5" t="s">
        <v>127</v>
      </c>
      <c r="B114" s="5" t="s">
        <v>57</v>
      </c>
      <c r="C114" s="5" t="s">
        <v>50</v>
      </c>
      <c r="D114" s="5" t="s">
        <v>43</v>
      </c>
      <c r="E114" s="5" t="s">
        <v>70</v>
      </c>
      <c r="F114" s="5" t="s">
        <v>71</v>
      </c>
      <c r="G114" s="5" t="n">
        <v>80219</v>
      </c>
      <c r="H114" s="5" t="s">
        <v>72</v>
      </c>
      <c r="I114" s="5" t="s">
        <v>47</v>
      </c>
      <c r="J114" s="5" t="s">
        <v>86</v>
      </c>
      <c r="K114" s="6" t="n">
        <v>21.27</v>
      </c>
      <c r="L114" s="5" t="n">
        <v>8</v>
      </c>
      <c r="M114" s="7" t="n">
        <v>0</v>
      </c>
      <c r="N114" s="6" t="n">
        <v>-0.52</v>
      </c>
    </row>
    <row r="115" customFormat="false" ht="15" hidden="false" customHeight="false" outlineLevel="0" collapsed="false">
      <c r="A115" s="5" t="s">
        <v>394</v>
      </c>
      <c r="B115" s="5" t="s">
        <v>57</v>
      </c>
      <c r="C115" s="5" t="s">
        <v>50</v>
      </c>
      <c r="D115" s="5" t="s">
        <v>43</v>
      </c>
      <c r="E115" s="5" t="s">
        <v>51</v>
      </c>
      <c r="F115" s="5" t="s">
        <v>52</v>
      </c>
      <c r="G115" s="5" t="n">
        <v>37211</v>
      </c>
      <c r="H115" s="5" t="s">
        <v>53</v>
      </c>
      <c r="I115" s="5" t="s">
        <v>65</v>
      </c>
      <c r="J115" s="5" t="s">
        <v>109</v>
      </c>
      <c r="K115" s="6" t="n">
        <v>38.07</v>
      </c>
      <c r="L115" s="5" t="n">
        <v>6</v>
      </c>
      <c r="M115" s="7" t="n">
        <v>0.2</v>
      </c>
      <c r="N115" s="6" t="n">
        <v>9.65</v>
      </c>
    </row>
    <row r="116" customFormat="false" ht="15" hidden="false" customHeight="false" outlineLevel="0" collapsed="false">
      <c r="A116" s="5" t="s">
        <v>184</v>
      </c>
      <c r="B116" s="5" t="s">
        <v>68</v>
      </c>
      <c r="C116" s="5" t="s">
        <v>50</v>
      </c>
      <c r="D116" s="5" t="s">
        <v>43</v>
      </c>
      <c r="E116" s="5" t="s">
        <v>79</v>
      </c>
      <c r="F116" s="5" t="s">
        <v>80</v>
      </c>
      <c r="G116" s="5" t="n">
        <v>2127</v>
      </c>
      <c r="H116" s="5" t="s">
        <v>46</v>
      </c>
      <c r="I116" s="5" t="s">
        <v>54</v>
      </c>
      <c r="J116" s="5" t="s">
        <v>55</v>
      </c>
      <c r="K116" s="6" t="n">
        <v>49.58</v>
      </c>
      <c r="L116" s="5" t="n">
        <v>3</v>
      </c>
      <c r="M116" s="7" t="n">
        <v>0</v>
      </c>
      <c r="N116" s="6" t="n">
        <v>-8.02</v>
      </c>
    </row>
    <row r="117" customFormat="false" ht="15" hidden="false" customHeight="false" outlineLevel="0" collapsed="false">
      <c r="A117" s="5" t="s">
        <v>214</v>
      </c>
      <c r="B117" s="5" t="s">
        <v>41</v>
      </c>
      <c r="C117" s="5" t="s">
        <v>69</v>
      </c>
      <c r="D117" s="5" t="s">
        <v>43</v>
      </c>
      <c r="E117" s="5" t="s">
        <v>95</v>
      </c>
      <c r="F117" s="5" t="s">
        <v>96</v>
      </c>
      <c r="G117" s="5" t="n">
        <v>97206</v>
      </c>
      <c r="H117" s="5" t="s">
        <v>72</v>
      </c>
      <c r="I117" s="5" t="s">
        <v>47</v>
      </c>
      <c r="J117" s="5" t="s">
        <v>84</v>
      </c>
      <c r="K117" s="6" t="n">
        <v>90.89</v>
      </c>
      <c r="L117" s="5" t="n">
        <v>5</v>
      </c>
      <c r="M117" s="7" t="n">
        <v>0</v>
      </c>
      <c r="N117" s="6" t="n">
        <v>4.34</v>
      </c>
    </row>
    <row r="118" customFormat="false" ht="15" hidden="false" customHeight="false" outlineLevel="0" collapsed="false">
      <c r="A118" s="5" t="s">
        <v>366</v>
      </c>
      <c r="B118" s="5" t="s">
        <v>68</v>
      </c>
      <c r="C118" s="5" t="s">
        <v>42</v>
      </c>
      <c r="D118" s="5" t="s">
        <v>43</v>
      </c>
      <c r="E118" s="5" t="s">
        <v>107</v>
      </c>
      <c r="F118" s="5" t="s">
        <v>108</v>
      </c>
      <c r="G118" s="5" t="n">
        <v>7102</v>
      </c>
      <c r="H118" s="5" t="s">
        <v>46</v>
      </c>
      <c r="I118" s="5" t="s">
        <v>65</v>
      </c>
      <c r="J118" s="5" t="s">
        <v>66</v>
      </c>
      <c r="K118" s="6" t="n">
        <v>34.93</v>
      </c>
      <c r="L118" s="5" t="n">
        <v>7</v>
      </c>
      <c r="M118" s="7" t="n">
        <v>0.7</v>
      </c>
      <c r="N118" s="6" t="n">
        <v>-5.35</v>
      </c>
    </row>
    <row r="119" customFormat="false" ht="15" hidden="false" customHeight="false" outlineLevel="0" collapsed="false">
      <c r="A119" s="5" t="s">
        <v>89</v>
      </c>
      <c r="B119" s="5" t="s">
        <v>83</v>
      </c>
      <c r="C119" s="5" t="s">
        <v>42</v>
      </c>
      <c r="D119" s="5" t="s">
        <v>43</v>
      </c>
      <c r="E119" s="5" t="s">
        <v>62</v>
      </c>
      <c r="F119" s="5" t="s">
        <v>63</v>
      </c>
      <c r="G119" s="5" t="n">
        <v>77095</v>
      </c>
      <c r="H119" s="5" t="s">
        <v>64</v>
      </c>
      <c r="I119" s="5" t="s">
        <v>47</v>
      </c>
      <c r="J119" s="5" t="s">
        <v>48</v>
      </c>
      <c r="K119" s="6" t="n">
        <v>182.97</v>
      </c>
      <c r="L119" s="5" t="n">
        <v>8</v>
      </c>
      <c r="M119" s="7" t="n">
        <v>0</v>
      </c>
      <c r="N119" s="6" t="n">
        <v>25.84</v>
      </c>
    </row>
    <row r="120" customFormat="false" ht="15" hidden="false" customHeight="false" outlineLevel="0" collapsed="false">
      <c r="A120" s="5" t="s">
        <v>225</v>
      </c>
      <c r="B120" s="5" t="s">
        <v>83</v>
      </c>
      <c r="C120" s="5" t="s">
        <v>42</v>
      </c>
      <c r="D120" s="5" t="s">
        <v>43</v>
      </c>
      <c r="E120" s="5" t="s">
        <v>100</v>
      </c>
      <c r="F120" s="5" t="s">
        <v>101</v>
      </c>
      <c r="G120" s="5" t="n">
        <v>19140</v>
      </c>
      <c r="H120" s="5" t="s">
        <v>46</v>
      </c>
      <c r="I120" s="5" t="s">
        <v>65</v>
      </c>
      <c r="J120" s="5" t="s">
        <v>81</v>
      </c>
      <c r="K120" s="6" t="n">
        <v>43.44</v>
      </c>
      <c r="L120" s="5" t="n">
        <v>6</v>
      </c>
      <c r="M120" s="7" t="n">
        <v>0.4</v>
      </c>
      <c r="N120" s="6" t="n">
        <v>4.51</v>
      </c>
    </row>
    <row r="121" customFormat="false" ht="15" hidden="false" customHeight="false" outlineLevel="0" collapsed="false">
      <c r="A121" s="5" t="s">
        <v>347</v>
      </c>
      <c r="B121" s="5" t="s">
        <v>57</v>
      </c>
      <c r="C121" s="5" t="s">
        <v>50</v>
      </c>
      <c r="D121" s="5" t="s">
        <v>43</v>
      </c>
      <c r="E121" s="5" t="s">
        <v>62</v>
      </c>
      <c r="F121" s="5" t="s">
        <v>63</v>
      </c>
      <c r="G121" s="5" t="n">
        <v>77095</v>
      </c>
      <c r="H121" s="5" t="s">
        <v>64</v>
      </c>
      <c r="I121" s="5" t="s">
        <v>47</v>
      </c>
      <c r="J121" s="5" t="s">
        <v>48</v>
      </c>
      <c r="K121" s="6" t="n">
        <v>491.45</v>
      </c>
      <c r="L121" s="5" t="n">
        <v>5</v>
      </c>
      <c r="M121" s="7" t="n">
        <v>0.1</v>
      </c>
      <c r="N121" s="6" t="n">
        <v>8.06</v>
      </c>
    </row>
    <row r="122" customFormat="false" ht="15" hidden="false" customHeight="false" outlineLevel="0" collapsed="false">
      <c r="A122" s="5" t="s">
        <v>295</v>
      </c>
      <c r="B122" s="5" t="s">
        <v>83</v>
      </c>
      <c r="C122" s="5" t="s">
        <v>42</v>
      </c>
      <c r="D122" s="5" t="s">
        <v>43</v>
      </c>
      <c r="E122" s="5" t="s">
        <v>112</v>
      </c>
      <c r="F122" s="5" t="s">
        <v>63</v>
      </c>
      <c r="G122" s="5" t="n">
        <v>75217</v>
      </c>
      <c r="H122" s="5" t="s">
        <v>64</v>
      </c>
      <c r="I122" s="5" t="s">
        <v>65</v>
      </c>
      <c r="J122" s="5" t="s">
        <v>81</v>
      </c>
      <c r="K122" s="6" t="n">
        <v>79.91</v>
      </c>
      <c r="L122" s="5" t="n">
        <v>9</v>
      </c>
      <c r="M122" s="7" t="n">
        <v>0.5</v>
      </c>
      <c r="N122" s="6" t="n">
        <v>-5.09</v>
      </c>
    </row>
    <row r="123" customFormat="false" ht="15" hidden="false" customHeight="false" outlineLevel="0" collapsed="false">
      <c r="A123" s="5" t="s">
        <v>391</v>
      </c>
      <c r="B123" s="5" t="s">
        <v>83</v>
      </c>
      <c r="C123" s="5" t="s">
        <v>69</v>
      </c>
      <c r="D123" s="5" t="s">
        <v>43</v>
      </c>
      <c r="E123" s="5" t="s">
        <v>51</v>
      </c>
      <c r="F123" s="5" t="s">
        <v>52</v>
      </c>
      <c r="G123" s="5" t="n">
        <v>37211</v>
      </c>
      <c r="H123" s="5" t="s">
        <v>53</v>
      </c>
      <c r="I123" s="5" t="s">
        <v>65</v>
      </c>
      <c r="J123" s="5" t="s">
        <v>88</v>
      </c>
      <c r="K123" s="6" t="n">
        <v>127.49</v>
      </c>
      <c r="L123" s="5" t="n">
        <v>5</v>
      </c>
      <c r="M123" s="7" t="n">
        <v>0</v>
      </c>
      <c r="N123" s="6" t="n">
        <v>40.06</v>
      </c>
    </row>
    <row r="124" customFormat="false" ht="15" hidden="false" customHeight="false" outlineLevel="0" collapsed="false">
      <c r="A124" s="5" t="s">
        <v>178</v>
      </c>
      <c r="B124" s="5" t="s">
        <v>41</v>
      </c>
      <c r="C124" s="5" t="s">
        <v>50</v>
      </c>
      <c r="D124" s="5" t="s">
        <v>43</v>
      </c>
      <c r="E124" s="5" t="s">
        <v>107</v>
      </c>
      <c r="F124" s="5" t="s">
        <v>108</v>
      </c>
      <c r="G124" s="5" t="n">
        <v>7102</v>
      </c>
      <c r="H124" s="5" t="s">
        <v>46</v>
      </c>
      <c r="I124" s="5" t="s">
        <v>65</v>
      </c>
      <c r="J124" s="5" t="s">
        <v>81</v>
      </c>
      <c r="K124" s="6" t="n">
        <v>15.51</v>
      </c>
      <c r="L124" s="5" t="n">
        <v>1</v>
      </c>
      <c r="M124" s="7" t="n">
        <v>0</v>
      </c>
      <c r="N124" s="6" t="n">
        <v>3.87</v>
      </c>
    </row>
    <row r="125" customFormat="false" ht="15" hidden="false" customHeight="false" outlineLevel="0" collapsed="false">
      <c r="A125" s="5" t="s">
        <v>286</v>
      </c>
      <c r="B125" s="5" t="s">
        <v>57</v>
      </c>
      <c r="C125" s="5" t="s">
        <v>50</v>
      </c>
      <c r="D125" s="5" t="s">
        <v>43</v>
      </c>
      <c r="E125" s="5" t="s">
        <v>100</v>
      </c>
      <c r="F125" s="5" t="s">
        <v>101</v>
      </c>
      <c r="G125" s="5" t="n">
        <v>19140</v>
      </c>
      <c r="H125" s="5" t="s">
        <v>46</v>
      </c>
      <c r="I125" s="5" t="s">
        <v>54</v>
      </c>
      <c r="J125" s="5" t="s">
        <v>93</v>
      </c>
      <c r="K125" s="6" t="n">
        <v>501.16</v>
      </c>
      <c r="L125" s="5" t="n">
        <v>2</v>
      </c>
      <c r="M125" s="7" t="n">
        <v>0.7</v>
      </c>
      <c r="N125" s="6" t="n">
        <v>21.03</v>
      </c>
    </row>
    <row r="126" customFormat="false" ht="15" hidden="false" customHeight="false" outlineLevel="0" collapsed="false">
      <c r="A126" s="5" t="s">
        <v>294</v>
      </c>
      <c r="B126" s="5" t="s">
        <v>41</v>
      </c>
      <c r="C126" s="5" t="s">
        <v>50</v>
      </c>
      <c r="D126" s="5" t="s">
        <v>43</v>
      </c>
      <c r="E126" s="5" t="s">
        <v>62</v>
      </c>
      <c r="F126" s="5" t="s">
        <v>63</v>
      </c>
      <c r="G126" s="5" t="n">
        <v>77095</v>
      </c>
      <c r="H126" s="5" t="s">
        <v>64</v>
      </c>
      <c r="I126" s="5" t="s">
        <v>65</v>
      </c>
      <c r="J126" s="5" t="s">
        <v>88</v>
      </c>
      <c r="K126" s="6" t="n">
        <v>46.42</v>
      </c>
      <c r="L126" s="5" t="n">
        <v>3</v>
      </c>
      <c r="M126" s="7" t="n">
        <v>0.5</v>
      </c>
      <c r="N126" s="6" t="n">
        <v>-2.32</v>
      </c>
    </row>
    <row r="127" customFormat="false" ht="15" hidden="false" customHeight="false" outlineLevel="0" collapsed="false">
      <c r="A127" s="5" t="s">
        <v>300</v>
      </c>
      <c r="B127" s="5" t="s">
        <v>68</v>
      </c>
      <c r="C127" s="5" t="s">
        <v>50</v>
      </c>
      <c r="D127" s="5" t="s">
        <v>43</v>
      </c>
      <c r="E127" s="5" t="s">
        <v>107</v>
      </c>
      <c r="F127" s="5" t="s">
        <v>108</v>
      </c>
      <c r="G127" s="5" t="n">
        <v>7102</v>
      </c>
      <c r="H127" s="5" t="s">
        <v>46</v>
      </c>
      <c r="I127" s="5" t="s">
        <v>47</v>
      </c>
      <c r="J127" s="5" t="s">
        <v>84</v>
      </c>
      <c r="K127" s="6" t="n">
        <v>314.39</v>
      </c>
      <c r="L127" s="5" t="n">
        <v>2</v>
      </c>
      <c r="M127" s="7" t="n">
        <v>0</v>
      </c>
      <c r="N127" s="6" t="n">
        <v>31.13</v>
      </c>
    </row>
    <row r="128" customFormat="false" ht="15" hidden="false" customHeight="false" outlineLevel="0" collapsed="false">
      <c r="A128" s="5" t="s">
        <v>136</v>
      </c>
      <c r="B128" s="5" t="s">
        <v>68</v>
      </c>
      <c r="C128" s="5" t="s">
        <v>69</v>
      </c>
      <c r="D128" s="5" t="s">
        <v>43</v>
      </c>
      <c r="E128" s="5" t="s">
        <v>95</v>
      </c>
      <c r="F128" s="5" t="s">
        <v>96</v>
      </c>
      <c r="G128" s="5" t="n">
        <v>97206</v>
      </c>
      <c r="H128" s="5" t="s">
        <v>72</v>
      </c>
      <c r="I128" s="5" t="s">
        <v>47</v>
      </c>
      <c r="J128" s="5" t="s">
        <v>48</v>
      </c>
      <c r="K128" s="6" t="n">
        <v>144.28</v>
      </c>
      <c r="L128" s="5" t="n">
        <v>8</v>
      </c>
      <c r="M128" s="7" t="n">
        <v>0</v>
      </c>
      <c r="N128" s="6" t="n">
        <v>22.43</v>
      </c>
    </row>
    <row r="129" customFormat="false" ht="15" hidden="false" customHeight="false" outlineLevel="0" collapsed="false">
      <c r="A129" s="5" t="s">
        <v>85</v>
      </c>
      <c r="B129" s="5" t="s">
        <v>68</v>
      </c>
      <c r="C129" s="5" t="s">
        <v>50</v>
      </c>
      <c r="D129" s="5" t="s">
        <v>43</v>
      </c>
      <c r="E129" s="5" t="s">
        <v>70</v>
      </c>
      <c r="F129" s="5" t="s">
        <v>71</v>
      </c>
      <c r="G129" s="5" t="n">
        <v>80219</v>
      </c>
      <c r="H129" s="5" t="s">
        <v>72</v>
      </c>
      <c r="I129" s="5" t="s">
        <v>47</v>
      </c>
      <c r="J129" s="5" t="s">
        <v>86</v>
      </c>
      <c r="K129" s="6" t="n">
        <v>206.18</v>
      </c>
      <c r="L129" s="5" t="n">
        <v>6</v>
      </c>
      <c r="M129" s="7" t="n">
        <v>0</v>
      </c>
      <c r="N129" s="6" t="n">
        <v>11.43</v>
      </c>
    </row>
    <row r="130" customFormat="false" ht="15" hidden="false" customHeight="false" outlineLevel="0" collapsed="false">
      <c r="A130" s="5" t="s">
        <v>190</v>
      </c>
      <c r="B130" s="5" t="s">
        <v>83</v>
      </c>
      <c r="C130" s="5" t="s">
        <v>50</v>
      </c>
      <c r="D130" s="5" t="s">
        <v>43</v>
      </c>
      <c r="E130" s="5" t="s">
        <v>118</v>
      </c>
      <c r="F130" s="5" t="s">
        <v>119</v>
      </c>
      <c r="G130" s="5" t="n">
        <v>98103</v>
      </c>
      <c r="H130" s="5" t="s">
        <v>72</v>
      </c>
      <c r="I130" s="5" t="s">
        <v>65</v>
      </c>
      <c r="J130" s="5" t="s">
        <v>138</v>
      </c>
      <c r="K130" s="6" t="n">
        <v>54.37</v>
      </c>
      <c r="L130" s="5" t="n">
        <v>9</v>
      </c>
      <c r="M130" s="7" t="n">
        <v>0.1</v>
      </c>
      <c r="N130" s="6" t="n">
        <v>11.47</v>
      </c>
    </row>
    <row r="131" customFormat="false" ht="15" hidden="false" customHeight="false" outlineLevel="0" collapsed="false">
      <c r="A131" s="5" t="s">
        <v>220</v>
      </c>
      <c r="B131" s="5" t="s">
        <v>57</v>
      </c>
      <c r="C131" s="5" t="s">
        <v>69</v>
      </c>
      <c r="D131" s="5" t="s">
        <v>43</v>
      </c>
      <c r="E131" s="5" t="s">
        <v>104</v>
      </c>
      <c r="F131" s="5" t="s">
        <v>105</v>
      </c>
      <c r="G131" s="5" t="n">
        <v>28205</v>
      </c>
      <c r="H131" s="5" t="s">
        <v>53</v>
      </c>
      <c r="I131" s="5" t="s">
        <v>47</v>
      </c>
      <c r="J131" s="5" t="s">
        <v>60</v>
      </c>
      <c r="K131" s="6" t="n">
        <v>269.82</v>
      </c>
      <c r="L131" s="5" t="n">
        <v>2</v>
      </c>
      <c r="M131" s="7" t="n">
        <v>0.2</v>
      </c>
      <c r="N131" s="6" t="n">
        <v>1.67</v>
      </c>
    </row>
    <row r="132" customFormat="false" ht="15" hidden="false" customHeight="false" outlineLevel="0" collapsed="false">
      <c r="A132" s="5" t="s">
        <v>165</v>
      </c>
      <c r="B132" s="5" t="s">
        <v>57</v>
      </c>
      <c r="C132" s="5" t="s">
        <v>69</v>
      </c>
      <c r="D132" s="5" t="s">
        <v>43</v>
      </c>
      <c r="E132" s="5" t="s">
        <v>118</v>
      </c>
      <c r="F132" s="5" t="s">
        <v>119</v>
      </c>
      <c r="G132" s="5" t="n">
        <v>98103</v>
      </c>
      <c r="H132" s="5" t="s">
        <v>72</v>
      </c>
      <c r="I132" s="5" t="s">
        <v>65</v>
      </c>
      <c r="J132" s="5" t="s">
        <v>133</v>
      </c>
      <c r="K132" s="6" t="n">
        <v>53.79</v>
      </c>
      <c r="L132" s="5" t="n">
        <v>9</v>
      </c>
      <c r="M132" s="7" t="n">
        <v>0.1</v>
      </c>
      <c r="N132" s="6" t="n">
        <v>18.03</v>
      </c>
    </row>
    <row r="133" customFormat="false" ht="15" hidden="false" customHeight="false" outlineLevel="0" collapsed="false">
      <c r="A133" s="5" t="s">
        <v>333</v>
      </c>
      <c r="B133" s="5" t="s">
        <v>57</v>
      </c>
      <c r="C133" s="5" t="s">
        <v>69</v>
      </c>
      <c r="D133" s="5" t="s">
        <v>43</v>
      </c>
      <c r="E133" s="5" t="s">
        <v>114</v>
      </c>
      <c r="F133" s="5" t="s">
        <v>115</v>
      </c>
      <c r="G133" s="5" t="n">
        <v>90036</v>
      </c>
      <c r="H133" s="5" t="s">
        <v>72</v>
      </c>
      <c r="I133" s="5" t="s">
        <v>65</v>
      </c>
      <c r="J133" s="5" t="s">
        <v>124</v>
      </c>
      <c r="K133" s="6" t="n">
        <v>35.25</v>
      </c>
      <c r="L133" s="5" t="n">
        <v>5</v>
      </c>
      <c r="M133" s="7" t="n">
        <v>0</v>
      </c>
      <c r="N133" s="6" t="n">
        <v>12.21</v>
      </c>
    </row>
    <row r="134" customFormat="false" ht="15" hidden="false" customHeight="false" outlineLevel="0" collapsed="false">
      <c r="A134" s="5" t="s">
        <v>358</v>
      </c>
      <c r="B134" s="5" t="s">
        <v>83</v>
      </c>
      <c r="C134" s="5" t="s">
        <v>42</v>
      </c>
      <c r="D134" s="5" t="s">
        <v>43</v>
      </c>
      <c r="E134" s="5" t="s">
        <v>100</v>
      </c>
      <c r="F134" s="5" t="s">
        <v>101</v>
      </c>
      <c r="G134" s="5" t="n">
        <v>19140</v>
      </c>
      <c r="H134" s="5" t="s">
        <v>46</v>
      </c>
      <c r="I134" s="5" t="s">
        <v>54</v>
      </c>
      <c r="J134" s="5" t="s">
        <v>55</v>
      </c>
      <c r="K134" s="6" t="n">
        <v>34.85</v>
      </c>
      <c r="L134" s="5" t="n">
        <v>1</v>
      </c>
      <c r="M134" s="7" t="n">
        <v>0.5</v>
      </c>
      <c r="N134" s="6" t="n">
        <v>1.1</v>
      </c>
    </row>
    <row r="135" customFormat="false" ht="15" hidden="false" customHeight="false" outlineLevel="0" collapsed="false">
      <c r="A135" s="5" t="s">
        <v>393</v>
      </c>
      <c r="B135" s="5" t="s">
        <v>83</v>
      </c>
      <c r="C135" s="5" t="s">
        <v>50</v>
      </c>
      <c r="D135" s="5" t="s">
        <v>43</v>
      </c>
      <c r="E135" s="5" t="s">
        <v>44</v>
      </c>
      <c r="F135" s="5" t="s">
        <v>45</v>
      </c>
      <c r="G135" s="5" t="n">
        <v>10011</v>
      </c>
      <c r="H135" s="5" t="s">
        <v>46</v>
      </c>
      <c r="I135" s="5" t="s">
        <v>65</v>
      </c>
      <c r="J135" s="5" t="s">
        <v>122</v>
      </c>
      <c r="K135" s="6" t="n">
        <v>61.61</v>
      </c>
      <c r="L135" s="5" t="n">
        <v>7</v>
      </c>
      <c r="M135" s="7" t="n">
        <v>0</v>
      </c>
      <c r="N135" s="6" t="n">
        <v>22.2</v>
      </c>
    </row>
    <row r="136" customFormat="false" ht="15" hidden="false" customHeight="false" outlineLevel="0" collapsed="false">
      <c r="A136" s="5" t="s">
        <v>374</v>
      </c>
      <c r="B136" s="5" t="s">
        <v>68</v>
      </c>
      <c r="C136" s="5" t="s">
        <v>42</v>
      </c>
      <c r="D136" s="5" t="s">
        <v>43</v>
      </c>
      <c r="E136" s="5" t="s">
        <v>75</v>
      </c>
      <c r="F136" s="5" t="s">
        <v>76</v>
      </c>
      <c r="G136" s="5" t="n">
        <v>60610</v>
      </c>
      <c r="H136" s="5" t="s">
        <v>64</v>
      </c>
      <c r="I136" s="5" t="s">
        <v>65</v>
      </c>
      <c r="J136" s="5" t="s">
        <v>88</v>
      </c>
      <c r="K136" s="6" t="n">
        <v>68.56</v>
      </c>
      <c r="L136" s="5" t="n">
        <v>6</v>
      </c>
      <c r="M136" s="7" t="n">
        <v>0.2</v>
      </c>
      <c r="N136" s="6" t="n">
        <v>9.98</v>
      </c>
    </row>
    <row r="137" customFormat="false" ht="15" hidden="false" customHeight="false" outlineLevel="0" collapsed="false">
      <c r="A137" s="5" t="s">
        <v>111</v>
      </c>
      <c r="B137" s="5" t="s">
        <v>41</v>
      </c>
      <c r="C137" s="5" t="s">
        <v>42</v>
      </c>
      <c r="D137" s="5" t="s">
        <v>43</v>
      </c>
      <c r="E137" s="5" t="s">
        <v>112</v>
      </c>
      <c r="F137" s="5" t="s">
        <v>63</v>
      </c>
      <c r="G137" s="5" t="n">
        <v>75217</v>
      </c>
      <c r="H137" s="5" t="s">
        <v>64</v>
      </c>
      <c r="I137" s="5" t="s">
        <v>54</v>
      </c>
      <c r="J137" s="5" t="s">
        <v>73</v>
      </c>
      <c r="K137" s="6" t="n">
        <v>181.91</v>
      </c>
      <c r="L137" s="5" t="n">
        <v>4</v>
      </c>
      <c r="M137" s="7" t="n">
        <v>0.15</v>
      </c>
      <c r="N137" s="6" t="n">
        <v>41.13</v>
      </c>
    </row>
    <row r="138" customFormat="false" ht="15" hidden="false" customHeight="false" outlineLevel="0" collapsed="false">
      <c r="A138" s="5" t="s">
        <v>353</v>
      </c>
      <c r="B138" s="5" t="s">
        <v>83</v>
      </c>
      <c r="C138" s="5" t="s">
        <v>69</v>
      </c>
      <c r="D138" s="5" t="s">
        <v>43</v>
      </c>
      <c r="E138" s="5" t="s">
        <v>114</v>
      </c>
      <c r="F138" s="5" t="s">
        <v>115</v>
      </c>
      <c r="G138" s="5" t="n">
        <v>90036</v>
      </c>
      <c r="H138" s="5" t="s">
        <v>72</v>
      </c>
      <c r="I138" s="5" t="s">
        <v>47</v>
      </c>
      <c r="J138" s="5" t="s">
        <v>60</v>
      </c>
      <c r="K138" s="6" t="n">
        <v>63.15</v>
      </c>
      <c r="L138" s="5" t="n">
        <v>7</v>
      </c>
      <c r="M138" s="7" t="n">
        <v>0</v>
      </c>
      <c r="N138" s="6" t="n">
        <v>9.23</v>
      </c>
    </row>
    <row r="139" customFormat="false" ht="15" hidden="false" customHeight="false" outlineLevel="0" collapsed="false">
      <c r="A139" s="5" t="s">
        <v>271</v>
      </c>
      <c r="B139" s="5" t="s">
        <v>68</v>
      </c>
      <c r="C139" s="5" t="s">
        <v>50</v>
      </c>
      <c r="D139" s="5" t="s">
        <v>43</v>
      </c>
      <c r="E139" s="5" t="s">
        <v>176</v>
      </c>
      <c r="F139" s="5" t="s">
        <v>177</v>
      </c>
      <c r="G139" s="5" t="n">
        <v>55407</v>
      </c>
      <c r="H139" s="5" t="s">
        <v>64</v>
      </c>
      <c r="I139" s="5" t="s">
        <v>47</v>
      </c>
      <c r="J139" s="5" t="s">
        <v>60</v>
      </c>
      <c r="K139" s="6" t="n">
        <v>137.61</v>
      </c>
      <c r="L139" s="5" t="n">
        <v>7</v>
      </c>
      <c r="M139" s="7" t="n">
        <v>0.5</v>
      </c>
      <c r="N139" s="6" t="n">
        <v>-12.68</v>
      </c>
    </row>
    <row r="140" customFormat="false" ht="15" hidden="false" customHeight="false" outlineLevel="0" collapsed="false">
      <c r="A140" s="5" t="s">
        <v>400</v>
      </c>
      <c r="B140" s="5" t="s">
        <v>41</v>
      </c>
      <c r="C140" s="5" t="s">
        <v>50</v>
      </c>
      <c r="D140" s="5" t="s">
        <v>43</v>
      </c>
      <c r="E140" s="5" t="s">
        <v>51</v>
      </c>
      <c r="F140" s="5" t="s">
        <v>52</v>
      </c>
      <c r="G140" s="5" t="n">
        <v>37211</v>
      </c>
      <c r="H140" s="5" t="s">
        <v>53</v>
      </c>
      <c r="I140" s="5" t="s">
        <v>47</v>
      </c>
      <c r="J140" s="5" t="s">
        <v>48</v>
      </c>
      <c r="K140" s="6" t="n">
        <v>135.22</v>
      </c>
      <c r="L140" s="5" t="n">
        <v>9</v>
      </c>
      <c r="M140" s="7" t="n">
        <v>0</v>
      </c>
      <c r="N140" s="6" t="n">
        <v>22.2</v>
      </c>
    </row>
    <row r="141" customFormat="false" ht="15" hidden="false" customHeight="false" outlineLevel="0" collapsed="false">
      <c r="A141" s="5" t="s">
        <v>381</v>
      </c>
      <c r="B141" s="5" t="s">
        <v>68</v>
      </c>
      <c r="C141" s="5" t="s">
        <v>50</v>
      </c>
      <c r="D141" s="5" t="s">
        <v>43</v>
      </c>
      <c r="E141" s="5" t="s">
        <v>95</v>
      </c>
      <c r="F141" s="5" t="s">
        <v>96</v>
      </c>
      <c r="G141" s="5" t="n">
        <v>97206</v>
      </c>
      <c r="H141" s="5" t="s">
        <v>72</v>
      </c>
      <c r="I141" s="5" t="s">
        <v>47</v>
      </c>
      <c r="J141" s="5" t="s">
        <v>60</v>
      </c>
      <c r="K141" s="6" t="n">
        <v>171.13</v>
      </c>
      <c r="L141" s="5" t="n">
        <v>8</v>
      </c>
      <c r="M141" s="7" t="n">
        <v>0.4</v>
      </c>
      <c r="N141" s="6" t="n">
        <v>-23.09</v>
      </c>
    </row>
    <row r="142" customFormat="false" ht="15" hidden="false" customHeight="false" outlineLevel="0" collapsed="false">
      <c r="A142" s="5" t="s">
        <v>49</v>
      </c>
      <c r="B142" s="5" t="s">
        <v>41</v>
      </c>
      <c r="C142" s="5" t="s">
        <v>50</v>
      </c>
      <c r="D142" s="5" t="s">
        <v>43</v>
      </c>
      <c r="E142" s="5" t="s">
        <v>51</v>
      </c>
      <c r="F142" s="5" t="s">
        <v>52</v>
      </c>
      <c r="G142" s="5" t="n">
        <v>37211</v>
      </c>
      <c r="H142" s="5" t="s">
        <v>53</v>
      </c>
      <c r="I142" s="5" t="s">
        <v>54</v>
      </c>
      <c r="J142" s="5" t="s">
        <v>55</v>
      </c>
      <c r="K142" s="6" t="n">
        <v>50</v>
      </c>
      <c r="L142" s="5" t="n">
        <v>4</v>
      </c>
      <c r="M142" s="7" t="n">
        <v>0</v>
      </c>
      <c r="N142" s="6" t="n">
        <v>11.09</v>
      </c>
    </row>
    <row r="143" customFormat="false" ht="15" hidden="false" customHeight="false" outlineLevel="0" collapsed="false">
      <c r="A143" s="5" t="s">
        <v>87</v>
      </c>
      <c r="B143" s="5" t="s">
        <v>68</v>
      </c>
      <c r="C143" s="5" t="s">
        <v>69</v>
      </c>
      <c r="D143" s="5" t="s">
        <v>43</v>
      </c>
      <c r="E143" s="5" t="s">
        <v>44</v>
      </c>
      <c r="F143" s="5" t="s">
        <v>45</v>
      </c>
      <c r="G143" s="5" t="n">
        <v>10011</v>
      </c>
      <c r="H143" s="5" t="s">
        <v>46</v>
      </c>
      <c r="I143" s="5" t="s">
        <v>65</v>
      </c>
      <c r="J143" s="5" t="s">
        <v>88</v>
      </c>
      <c r="K143" s="6" t="n">
        <v>137.56</v>
      </c>
      <c r="L143" s="5" t="n">
        <v>9</v>
      </c>
      <c r="M143" s="7" t="n">
        <v>0</v>
      </c>
      <c r="N143" s="6" t="n">
        <v>52.23</v>
      </c>
    </row>
    <row r="144" customFormat="false" ht="15" hidden="false" customHeight="false" outlineLevel="0" collapsed="false">
      <c r="A144" s="5" t="s">
        <v>189</v>
      </c>
      <c r="B144" s="5" t="s">
        <v>83</v>
      </c>
      <c r="C144" s="5" t="s">
        <v>50</v>
      </c>
      <c r="D144" s="5" t="s">
        <v>43</v>
      </c>
      <c r="E144" s="5" t="s">
        <v>75</v>
      </c>
      <c r="F144" s="5" t="s">
        <v>76</v>
      </c>
      <c r="G144" s="5" t="n">
        <v>60610</v>
      </c>
      <c r="H144" s="5" t="s">
        <v>64</v>
      </c>
      <c r="I144" s="5" t="s">
        <v>65</v>
      </c>
      <c r="J144" s="5" t="s">
        <v>133</v>
      </c>
      <c r="K144" s="6" t="n">
        <v>415.54</v>
      </c>
      <c r="L144" s="5" t="n">
        <v>5</v>
      </c>
      <c r="M144" s="7" t="n">
        <v>0.1</v>
      </c>
      <c r="N144" s="6" t="n">
        <v>119.75</v>
      </c>
    </row>
    <row r="145" customFormat="false" ht="15" hidden="false" customHeight="false" outlineLevel="0" collapsed="false">
      <c r="A145" s="5" t="s">
        <v>280</v>
      </c>
      <c r="B145" s="5" t="s">
        <v>68</v>
      </c>
      <c r="C145" s="5" t="s">
        <v>69</v>
      </c>
      <c r="D145" s="5" t="s">
        <v>43</v>
      </c>
      <c r="E145" s="5" t="s">
        <v>75</v>
      </c>
      <c r="F145" s="5" t="s">
        <v>76</v>
      </c>
      <c r="G145" s="5" t="n">
        <v>60610</v>
      </c>
      <c r="H145" s="5" t="s">
        <v>64</v>
      </c>
      <c r="I145" s="5" t="s">
        <v>47</v>
      </c>
      <c r="J145" s="5" t="s">
        <v>60</v>
      </c>
      <c r="K145" s="6" t="n">
        <v>154.91</v>
      </c>
      <c r="L145" s="5" t="n">
        <v>8</v>
      </c>
      <c r="M145" s="7" t="n">
        <v>0.3</v>
      </c>
      <c r="N145" s="6" t="n">
        <v>-18.51</v>
      </c>
    </row>
    <row r="146" customFormat="false" ht="15" hidden="false" customHeight="false" outlineLevel="0" collapsed="false">
      <c r="A146" s="5" t="s">
        <v>332</v>
      </c>
      <c r="B146" s="5" t="s">
        <v>68</v>
      </c>
      <c r="C146" s="5" t="s">
        <v>42</v>
      </c>
      <c r="D146" s="5" t="s">
        <v>43</v>
      </c>
      <c r="E146" s="5" t="s">
        <v>95</v>
      </c>
      <c r="F146" s="5" t="s">
        <v>96</v>
      </c>
      <c r="G146" s="5" t="n">
        <v>97206</v>
      </c>
      <c r="H146" s="5" t="s">
        <v>72</v>
      </c>
      <c r="I146" s="5" t="s">
        <v>54</v>
      </c>
      <c r="J146" s="5" t="s">
        <v>73</v>
      </c>
      <c r="K146" s="6" t="n">
        <v>107.64</v>
      </c>
      <c r="L146" s="5" t="n">
        <v>1</v>
      </c>
      <c r="M146" s="7" t="n">
        <v>0.4</v>
      </c>
      <c r="N146" s="6" t="n">
        <v>14.41</v>
      </c>
    </row>
    <row r="147" customFormat="false" ht="15" hidden="false" customHeight="false" outlineLevel="0" collapsed="false">
      <c r="A147" s="5" t="s">
        <v>164</v>
      </c>
      <c r="B147" s="5" t="s">
        <v>41</v>
      </c>
      <c r="C147" s="5" t="s">
        <v>50</v>
      </c>
      <c r="D147" s="5" t="s">
        <v>43</v>
      </c>
      <c r="E147" s="5" t="s">
        <v>118</v>
      </c>
      <c r="F147" s="5" t="s">
        <v>119</v>
      </c>
      <c r="G147" s="5" t="n">
        <v>98103</v>
      </c>
      <c r="H147" s="5" t="s">
        <v>72</v>
      </c>
      <c r="I147" s="5" t="s">
        <v>54</v>
      </c>
      <c r="J147" s="5" t="s">
        <v>55</v>
      </c>
      <c r="K147" s="6" t="n">
        <v>29.49</v>
      </c>
      <c r="L147" s="5" t="n">
        <v>5</v>
      </c>
      <c r="M147" s="7" t="n">
        <v>0.1</v>
      </c>
      <c r="N147" s="6" t="n">
        <v>11.36</v>
      </c>
    </row>
    <row r="148" customFormat="false" ht="15" hidden="false" customHeight="false" outlineLevel="0" collapsed="false">
      <c r="A148" s="5" t="s">
        <v>170</v>
      </c>
      <c r="B148" s="5" t="s">
        <v>83</v>
      </c>
      <c r="C148" s="5" t="s">
        <v>69</v>
      </c>
      <c r="D148" s="5" t="s">
        <v>43</v>
      </c>
      <c r="E148" s="5" t="s">
        <v>104</v>
      </c>
      <c r="F148" s="5" t="s">
        <v>105</v>
      </c>
      <c r="G148" s="5" t="n">
        <v>28205</v>
      </c>
      <c r="H148" s="5" t="s">
        <v>53</v>
      </c>
      <c r="I148" s="5" t="s">
        <v>54</v>
      </c>
      <c r="J148" s="5" t="s">
        <v>73</v>
      </c>
      <c r="K148" s="6" t="n">
        <v>13.43</v>
      </c>
      <c r="L148" s="5" t="n">
        <v>1</v>
      </c>
      <c r="M148" s="7" t="n">
        <v>0.2</v>
      </c>
      <c r="N148" s="6" t="n">
        <v>3.66</v>
      </c>
    </row>
    <row r="149" customFormat="false" ht="15" hidden="false" customHeight="false" outlineLevel="0" collapsed="false">
      <c r="A149" s="5" t="s">
        <v>123</v>
      </c>
      <c r="B149" s="5" t="s">
        <v>41</v>
      </c>
      <c r="C149" s="5" t="s">
        <v>42</v>
      </c>
      <c r="D149" s="5" t="s">
        <v>43</v>
      </c>
      <c r="E149" s="5" t="s">
        <v>58</v>
      </c>
      <c r="F149" s="5" t="s">
        <v>59</v>
      </c>
      <c r="G149" s="5" t="n">
        <v>30318</v>
      </c>
      <c r="H149" s="5" t="s">
        <v>53</v>
      </c>
      <c r="I149" s="5" t="s">
        <v>65</v>
      </c>
      <c r="J149" s="5" t="s">
        <v>124</v>
      </c>
      <c r="K149" s="6" t="n">
        <v>58.56</v>
      </c>
      <c r="L149" s="5" t="n">
        <v>9</v>
      </c>
      <c r="M149" s="7" t="n">
        <v>0.4</v>
      </c>
      <c r="N149" s="6" t="n">
        <v>4.18</v>
      </c>
    </row>
    <row r="150" customFormat="false" ht="15" hidden="false" customHeight="false" outlineLevel="0" collapsed="false">
      <c r="A150" s="5" t="s">
        <v>306</v>
      </c>
      <c r="B150" s="5" t="s">
        <v>68</v>
      </c>
      <c r="C150" s="5" t="s">
        <v>42</v>
      </c>
      <c r="D150" s="5" t="s">
        <v>43</v>
      </c>
      <c r="E150" s="5" t="s">
        <v>75</v>
      </c>
      <c r="F150" s="5" t="s">
        <v>76</v>
      </c>
      <c r="G150" s="5" t="n">
        <v>60610</v>
      </c>
      <c r="H150" s="5" t="s">
        <v>64</v>
      </c>
      <c r="I150" s="5" t="s">
        <v>47</v>
      </c>
      <c r="J150" s="5" t="s">
        <v>48</v>
      </c>
      <c r="K150" s="6" t="n">
        <v>162.96</v>
      </c>
      <c r="L150" s="5" t="n">
        <v>5</v>
      </c>
      <c r="M150" s="7" t="n">
        <v>0.1</v>
      </c>
      <c r="N150" s="6" t="n">
        <v>19.05</v>
      </c>
    </row>
    <row r="151" customFormat="false" ht="15" hidden="false" customHeight="false" outlineLevel="0" collapsed="false">
      <c r="A151" s="5" t="s">
        <v>284</v>
      </c>
      <c r="B151" s="5" t="s">
        <v>68</v>
      </c>
      <c r="C151" s="5" t="s">
        <v>50</v>
      </c>
      <c r="D151" s="5" t="s">
        <v>43</v>
      </c>
      <c r="E151" s="5" t="s">
        <v>70</v>
      </c>
      <c r="F151" s="5" t="s">
        <v>71</v>
      </c>
      <c r="G151" s="5" t="n">
        <v>80219</v>
      </c>
      <c r="H151" s="5" t="s">
        <v>72</v>
      </c>
      <c r="I151" s="5" t="s">
        <v>54</v>
      </c>
      <c r="J151" s="5" t="s">
        <v>93</v>
      </c>
      <c r="K151" s="6" t="n">
        <v>919.58</v>
      </c>
      <c r="L151" s="5" t="n">
        <v>8</v>
      </c>
      <c r="M151" s="7" t="n">
        <v>0.7</v>
      </c>
      <c r="N151" s="6" t="n">
        <v>93.99</v>
      </c>
    </row>
    <row r="152" customFormat="false" ht="15" hidden="false" customHeight="false" outlineLevel="0" collapsed="false">
      <c r="A152" s="5" t="s">
        <v>146</v>
      </c>
      <c r="B152" s="5" t="s">
        <v>41</v>
      </c>
      <c r="C152" s="5" t="s">
        <v>42</v>
      </c>
      <c r="D152" s="5" t="s">
        <v>43</v>
      </c>
      <c r="E152" s="5" t="s">
        <v>100</v>
      </c>
      <c r="F152" s="5" t="s">
        <v>101</v>
      </c>
      <c r="G152" s="5" t="n">
        <v>19140</v>
      </c>
      <c r="H152" s="5" t="s">
        <v>46</v>
      </c>
      <c r="I152" s="5" t="s">
        <v>65</v>
      </c>
      <c r="J152" s="5" t="s">
        <v>66</v>
      </c>
      <c r="K152" s="6" t="n">
        <v>25.45</v>
      </c>
      <c r="L152" s="5" t="n">
        <v>5</v>
      </c>
      <c r="M152" s="7" t="n">
        <v>0.1</v>
      </c>
      <c r="N152" s="6" t="n">
        <v>4.14</v>
      </c>
    </row>
    <row r="153" customFormat="false" ht="15" hidden="false" customHeight="false" outlineLevel="0" collapsed="false">
      <c r="A153" s="5" t="s">
        <v>319</v>
      </c>
      <c r="B153" s="5" t="s">
        <v>83</v>
      </c>
      <c r="C153" s="5" t="s">
        <v>42</v>
      </c>
      <c r="D153" s="5" t="s">
        <v>43</v>
      </c>
      <c r="E153" s="5" t="s">
        <v>91</v>
      </c>
      <c r="F153" s="5" t="s">
        <v>92</v>
      </c>
      <c r="G153" s="5" t="n">
        <v>33311</v>
      </c>
      <c r="H153" s="5" t="s">
        <v>53</v>
      </c>
      <c r="I153" s="5" t="s">
        <v>65</v>
      </c>
      <c r="J153" s="5" t="s">
        <v>66</v>
      </c>
      <c r="K153" s="6" t="n">
        <v>45.77</v>
      </c>
      <c r="L153" s="5" t="n">
        <v>4</v>
      </c>
      <c r="M153" s="7" t="n">
        <v>0.3</v>
      </c>
      <c r="N153" s="6" t="n">
        <v>2.24</v>
      </c>
    </row>
    <row r="154" customFormat="false" ht="15" hidden="false" customHeight="false" outlineLevel="0" collapsed="false">
      <c r="A154" s="5" t="s">
        <v>399</v>
      </c>
      <c r="B154" s="5" t="s">
        <v>41</v>
      </c>
      <c r="C154" s="5" t="s">
        <v>69</v>
      </c>
      <c r="D154" s="5" t="s">
        <v>43</v>
      </c>
      <c r="E154" s="5" t="s">
        <v>44</v>
      </c>
      <c r="F154" s="5" t="s">
        <v>45</v>
      </c>
      <c r="G154" s="5" t="n">
        <v>10011</v>
      </c>
      <c r="H154" s="5" t="s">
        <v>46</v>
      </c>
      <c r="I154" s="5" t="s">
        <v>54</v>
      </c>
      <c r="J154" s="5" t="s">
        <v>55</v>
      </c>
      <c r="K154" s="6" t="n">
        <v>580.16</v>
      </c>
      <c r="L154" s="5" t="n">
        <v>6</v>
      </c>
      <c r="M154" s="7" t="n">
        <v>0.1</v>
      </c>
      <c r="N154" s="6" t="n">
        <v>187.73</v>
      </c>
    </row>
    <row r="155" customFormat="false" ht="15" hidden="false" customHeight="false" outlineLevel="0" collapsed="false">
      <c r="A155" s="5" t="s">
        <v>338</v>
      </c>
      <c r="B155" s="5" t="s">
        <v>41</v>
      </c>
      <c r="C155" s="5" t="s">
        <v>42</v>
      </c>
      <c r="D155" s="5" t="s">
        <v>43</v>
      </c>
      <c r="E155" s="5" t="s">
        <v>100</v>
      </c>
      <c r="F155" s="5" t="s">
        <v>101</v>
      </c>
      <c r="G155" s="5" t="n">
        <v>19140</v>
      </c>
      <c r="H155" s="5" t="s">
        <v>46</v>
      </c>
      <c r="I155" s="5" t="s">
        <v>54</v>
      </c>
      <c r="J155" s="5" t="s">
        <v>55</v>
      </c>
      <c r="K155" s="6" t="n">
        <v>20.58</v>
      </c>
      <c r="L155" s="5" t="n">
        <v>5</v>
      </c>
      <c r="M155" s="7" t="n">
        <v>0.2</v>
      </c>
      <c r="N155" s="6" t="n">
        <v>4.02</v>
      </c>
    </row>
    <row r="156" customFormat="false" ht="15" hidden="false" customHeight="false" outlineLevel="0" collapsed="false">
      <c r="A156" s="5" t="s">
        <v>389</v>
      </c>
      <c r="B156" s="5" t="s">
        <v>68</v>
      </c>
      <c r="C156" s="5" t="s">
        <v>69</v>
      </c>
      <c r="D156" s="5" t="s">
        <v>43</v>
      </c>
      <c r="E156" s="5" t="s">
        <v>62</v>
      </c>
      <c r="F156" s="5" t="s">
        <v>63</v>
      </c>
      <c r="G156" s="5" t="n">
        <v>77095</v>
      </c>
      <c r="H156" s="5" t="s">
        <v>64</v>
      </c>
      <c r="I156" s="5" t="s">
        <v>65</v>
      </c>
      <c r="J156" s="5" t="s">
        <v>120</v>
      </c>
      <c r="K156" s="6" t="n">
        <v>37.4</v>
      </c>
      <c r="L156" s="5" t="n">
        <v>7</v>
      </c>
      <c r="M156" s="7" t="n">
        <v>0.3</v>
      </c>
      <c r="N156" s="6" t="n">
        <v>5.3</v>
      </c>
    </row>
    <row r="157" customFormat="false" ht="15" hidden="false" customHeight="false" outlineLevel="0" collapsed="false">
      <c r="A157" s="5" t="s">
        <v>310</v>
      </c>
      <c r="B157" s="5" t="s">
        <v>41</v>
      </c>
      <c r="C157" s="5" t="s">
        <v>42</v>
      </c>
      <c r="D157" s="5" t="s">
        <v>43</v>
      </c>
      <c r="E157" s="5" t="s">
        <v>58</v>
      </c>
      <c r="F157" s="5" t="s">
        <v>59</v>
      </c>
      <c r="G157" s="5" t="n">
        <v>30318</v>
      </c>
      <c r="H157" s="5" t="s">
        <v>53</v>
      </c>
      <c r="I157" s="5" t="s">
        <v>65</v>
      </c>
      <c r="J157" s="5" t="s">
        <v>88</v>
      </c>
      <c r="K157" s="6" t="n">
        <v>42.97</v>
      </c>
      <c r="L157" s="5" t="n">
        <v>3</v>
      </c>
      <c r="M157" s="7" t="n">
        <v>0.5</v>
      </c>
      <c r="N157" s="6" t="n">
        <v>-2.82</v>
      </c>
    </row>
    <row r="158" customFormat="false" ht="15" hidden="false" customHeight="false" outlineLevel="0" collapsed="false">
      <c r="A158" s="5" t="s">
        <v>343</v>
      </c>
      <c r="B158" s="5" t="s">
        <v>41</v>
      </c>
      <c r="C158" s="5" t="s">
        <v>50</v>
      </c>
      <c r="D158" s="5" t="s">
        <v>43</v>
      </c>
      <c r="E158" s="5" t="s">
        <v>75</v>
      </c>
      <c r="F158" s="5" t="s">
        <v>76</v>
      </c>
      <c r="G158" s="5" t="n">
        <v>60610</v>
      </c>
      <c r="H158" s="5" t="s">
        <v>64</v>
      </c>
      <c r="I158" s="5" t="s">
        <v>65</v>
      </c>
      <c r="J158" s="5" t="s">
        <v>122</v>
      </c>
      <c r="K158" s="6" t="n">
        <v>57.01</v>
      </c>
      <c r="L158" s="5" t="n">
        <v>6</v>
      </c>
      <c r="M158" s="7" t="n">
        <v>0</v>
      </c>
      <c r="N158" s="6" t="n">
        <v>21.38</v>
      </c>
    </row>
    <row r="159" customFormat="false" ht="15" hidden="false" customHeight="false" outlineLevel="0" collapsed="false">
      <c r="A159" s="5" t="s">
        <v>318</v>
      </c>
      <c r="B159" s="5" t="s">
        <v>57</v>
      </c>
      <c r="C159" s="5" t="s">
        <v>50</v>
      </c>
      <c r="D159" s="5" t="s">
        <v>43</v>
      </c>
      <c r="E159" s="5" t="s">
        <v>104</v>
      </c>
      <c r="F159" s="5" t="s">
        <v>105</v>
      </c>
      <c r="G159" s="5" t="n">
        <v>28205</v>
      </c>
      <c r="H159" s="5" t="s">
        <v>53</v>
      </c>
      <c r="I159" s="5" t="s">
        <v>54</v>
      </c>
      <c r="J159" s="5" t="s">
        <v>77</v>
      </c>
      <c r="K159" s="6" t="n">
        <v>22.84</v>
      </c>
      <c r="L159" s="5" t="n">
        <v>6</v>
      </c>
      <c r="M159" s="7" t="n">
        <v>0.2</v>
      </c>
      <c r="N159" s="6" t="n">
        <v>10.04</v>
      </c>
    </row>
    <row r="160" customFormat="false" ht="15" hidden="false" customHeight="false" outlineLevel="0" collapsed="false">
      <c r="A160" s="5" t="s">
        <v>287</v>
      </c>
      <c r="B160" s="5" t="s">
        <v>41</v>
      </c>
      <c r="C160" s="5" t="s">
        <v>69</v>
      </c>
      <c r="D160" s="5" t="s">
        <v>43</v>
      </c>
      <c r="E160" s="5" t="s">
        <v>44</v>
      </c>
      <c r="F160" s="5" t="s">
        <v>45</v>
      </c>
      <c r="G160" s="5" t="n">
        <v>10011</v>
      </c>
      <c r="H160" s="5" t="s">
        <v>46</v>
      </c>
      <c r="I160" s="5" t="s">
        <v>65</v>
      </c>
      <c r="J160" s="5" t="s">
        <v>66</v>
      </c>
      <c r="K160" s="6" t="n">
        <v>105.53</v>
      </c>
      <c r="L160" s="5" t="n">
        <v>9</v>
      </c>
      <c r="M160" s="7" t="n">
        <v>0</v>
      </c>
      <c r="N160" s="6" t="n">
        <v>33.08</v>
      </c>
    </row>
    <row r="161" customFormat="false" ht="15" hidden="false" customHeight="false" outlineLevel="0" collapsed="false">
      <c r="A161" s="5" t="s">
        <v>234</v>
      </c>
      <c r="B161" s="5" t="s">
        <v>68</v>
      </c>
      <c r="C161" s="5" t="s">
        <v>50</v>
      </c>
      <c r="D161" s="5" t="s">
        <v>43</v>
      </c>
      <c r="E161" s="5" t="s">
        <v>58</v>
      </c>
      <c r="F161" s="5" t="s">
        <v>59</v>
      </c>
      <c r="G161" s="5" t="n">
        <v>30318</v>
      </c>
      <c r="H161" s="5" t="s">
        <v>53</v>
      </c>
      <c r="I161" s="5" t="s">
        <v>47</v>
      </c>
      <c r="J161" s="5" t="s">
        <v>86</v>
      </c>
      <c r="K161" s="6" t="n">
        <v>527.15</v>
      </c>
      <c r="L161" s="5" t="n">
        <v>1</v>
      </c>
      <c r="M161" s="7" t="n">
        <v>0.7</v>
      </c>
      <c r="N161" s="6" t="n">
        <v>-206.78</v>
      </c>
    </row>
    <row r="162" customFormat="false" ht="15" hidden="false" customHeight="false" outlineLevel="0" collapsed="false">
      <c r="A162" s="5" t="s">
        <v>296</v>
      </c>
      <c r="B162" s="5" t="s">
        <v>68</v>
      </c>
      <c r="C162" s="5" t="s">
        <v>42</v>
      </c>
      <c r="D162" s="5" t="s">
        <v>43</v>
      </c>
      <c r="E162" s="5" t="s">
        <v>107</v>
      </c>
      <c r="F162" s="5" t="s">
        <v>108</v>
      </c>
      <c r="G162" s="5" t="n">
        <v>7102</v>
      </c>
      <c r="H162" s="5" t="s">
        <v>46</v>
      </c>
      <c r="I162" s="5" t="s">
        <v>47</v>
      </c>
      <c r="J162" s="5" t="s">
        <v>84</v>
      </c>
      <c r="K162" s="6" t="n">
        <v>210.94</v>
      </c>
      <c r="L162" s="5" t="n">
        <v>3</v>
      </c>
      <c r="M162" s="7" t="n">
        <v>0.2</v>
      </c>
      <c r="N162" s="6" t="n">
        <v>-20.1</v>
      </c>
    </row>
    <row r="163" customFormat="false" ht="15" hidden="false" customHeight="false" outlineLevel="0" collapsed="false">
      <c r="A163" s="5" t="s">
        <v>161</v>
      </c>
      <c r="B163" s="5" t="s">
        <v>41</v>
      </c>
      <c r="C163" s="5" t="s">
        <v>69</v>
      </c>
      <c r="D163" s="5" t="s">
        <v>43</v>
      </c>
      <c r="E163" s="5" t="s">
        <v>62</v>
      </c>
      <c r="F163" s="5" t="s">
        <v>63</v>
      </c>
      <c r="G163" s="5" t="n">
        <v>77095</v>
      </c>
      <c r="H163" s="5" t="s">
        <v>64</v>
      </c>
      <c r="I163" s="5" t="s">
        <v>47</v>
      </c>
      <c r="J163" s="5" t="s">
        <v>84</v>
      </c>
      <c r="K163" s="6" t="n">
        <v>130.11</v>
      </c>
      <c r="L163" s="5" t="n">
        <v>6</v>
      </c>
      <c r="M163" s="7" t="n">
        <v>0</v>
      </c>
      <c r="N163" s="6" t="n">
        <v>2.65</v>
      </c>
    </row>
    <row r="164" customFormat="false" ht="15" hidden="false" customHeight="false" outlineLevel="0" collapsed="false">
      <c r="A164" s="5" t="s">
        <v>302</v>
      </c>
      <c r="B164" s="5" t="s">
        <v>68</v>
      </c>
      <c r="C164" s="5" t="s">
        <v>69</v>
      </c>
      <c r="D164" s="5" t="s">
        <v>43</v>
      </c>
      <c r="E164" s="5" t="s">
        <v>44</v>
      </c>
      <c r="F164" s="5" t="s">
        <v>45</v>
      </c>
      <c r="G164" s="5" t="n">
        <v>10011</v>
      </c>
      <c r="H164" s="5" t="s">
        <v>46</v>
      </c>
      <c r="I164" s="5" t="s">
        <v>47</v>
      </c>
      <c r="J164" s="5" t="s">
        <v>86</v>
      </c>
      <c r="K164" s="6" t="n">
        <v>70.21</v>
      </c>
      <c r="L164" s="5" t="n">
        <v>8</v>
      </c>
      <c r="M164" s="7" t="n">
        <v>0.15</v>
      </c>
      <c r="N164" s="6" t="n">
        <v>-6.43</v>
      </c>
    </row>
    <row r="165" customFormat="false" ht="15" hidden="false" customHeight="false" outlineLevel="0" collapsed="false">
      <c r="A165" s="5" t="s">
        <v>266</v>
      </c>
      <c r="B165" s="5" t="s">
        <v>68</v>
      </c>
      <c r="C165" s="5" t="s">
        <v>42</v>
      </c>
      <c r="D165" s="5" t="s">
        <v>43</v>
      </c>
      <c r="E165" s="5" t="s">
        <v>118</v>
      </c>
      <c r="F165" s="5" t="s">
        <v>119</v>
      </c>
      <c r="G165" s="5" t="n">
        <v>98103</v>
      </c>
      <c r="H165" s="5" t="s">
        <v>72</v>
      </c>
      <c r="I165" s="5" t="s">
        <v>65</v>
      </c>
      <c r="J165" s="5" t="s">
        <v>138</v>
      </c>
      <c r="K165" s="6" t="n">
        <v>88.57</v>
      </c>
      <c r="L165" s="5" t="n">
        <v>3</v>
      </c>
      <c r="M165" s="7" t="n">
        <v>0.5</v>
      </c>
      <c r="N165" s="6" t="n">
        <v>-4.25</v>
      </c>
    </row>
    <row r="166" customFormat="false" ht="15" hidden="false" customHeight="false" outlineLevel="0" collapsed="false">
      <c r="A166" s="5" t="s">
        <v>156</v>
      </c>
      <c r="B166" s="5" t="s">
        <v>83</v>
      </c>
      <c r="C166" s="5" t="s">
        <v>50</v>
      </c>
      <c r="D166" s="5" t="s">
        <v>43</v>
      </c>
      <c r="E166" s="5" t="s">
        <v>95</v>
      </c>
      <c r="F166" s="5" t="s">
        <v>96</v>
      </c>
      <c r="G166" s="5" t="n">
        <v>97206</v>
      </c>
      <c r="H166" s="5" t="s">
        <v>72</v>
      </c>
      <c r="I166" s="5" t="s">
        <v>65</v>
      </c>
      <c r="J166" s="5" t="s">
        <v>109</v>
      </c>
      <c r="K166" s="6" t="n">
        <v>265.99</v>
      </c>
      <c r="L166" s="5" t="n">
        <v>3</v>
      </c>
      <c r="M166" s="7" t="n">
        <v>0.2</v>
      </c>
      <c r="N166" s="6" t="n">
        <v>35.93</v>
      </c>
    </row>
    <row r="167" customFormat="false" ht="15" hidden="false" customHeight="false" outlineLevel="0" collapsed="false">
      <c r="A167" s="5" t="s">
        <v>206</v>
      </c>
      <c r="B167" s="5" t="s">
        <v>83</v>
      </c>
      <c r="C167" s="5" t="s">
        <v>69</v>
      </c>
      <c r="D167" s="5" t="s">
        <v>43</v>
      </c>
      <c r="E167" s="5" t="s">
        <v>62</v>
      </c>
      <c r="F167" s="5" t="s">
        <v>63</v>
      </c>
      <c r="G167" s="5" t="n">
        <v>77095</v>
      </c>
      <c r="H167" s="5" t="s">
        <v>64</v>
      </c>
      <c r="I167" s="5" t="s">
        <v>65</v>
      </c>
      <c r="J167" s="5" t="s">
        <v>138</v>
      </c>
      <c r="K167" s="6" t="n">
        <v>10.43</v>
      </c>
      <c r="L167" s="5" t="n">
        <v>6</v>
      </c>
      <c r="M167" s="7" t="n">
        <v>0</v>
      </c>
      <c r="N167" s="6" t="n">
        <v>3.13</v>
      </c>
    </row>
    <row r="168" customFormat="false" ht="15" hidden="false" customHeight="false" outlineLevel="0" collapsed="false">
      <c r="A168" s="5" t="s">
        <v>282</v>
      </c>
      <c r="B168" s="5" t="s">
        <v>57</v>
      </c>
      <c r="C168" s="5" t="s">
        <v>50</v>
      </c>
      <c r="D168" s="5" t="s">
        <v>43</v>
      </c>
      <c r="E168" s="5" t="s">
        <v>176</v>
      </c>
      <c r="F168" s="5" t="s">
        <v>177</v>
      </c>
      <c r="G168" s="5" t="n">
        <v>55407</v>
      </c>
      <c r="H168" s="5" t="s">
        <v>64</v>
      </c>
      <c r="I168" s="5" t="s">
        <v>54</v>
      </c>
      <c r="J168" s="5" t="s">
        <v>77</v>
      </c>
      <c r="K168" s="6" t="n">
        <v>137.63</v>
      </c>
      <c r="L168" s="5" t="n">
        <v>6</v>
      </c>
      <c r="M168" s="7" t="n">
        <v>0.2</v>
      </c>
      <c r="N168" s="6" t="n">
        <v>56.63</v>
      </c>
    </row>
    <row r="169" customFormat="false" ht="15" hidden="false" customHeight="false" outlineLevel="0" collapsed="false">
      <c r="A169" s="5" t="s">
        <v>256</v>
      </c>
      <c r="B169" s="5" t="s">
        <v>41</v>
      </c>
      <c r="C169" s="5" t="s">
        <v>50</v>
      </c>
      <c r="D169" s="5" t="s">
        <v>43</v>
      </c>
      <c r="E169" s="5" t="s">
        <v>112</v>
      </c>
      <c r="F169" s="5" t="s">
        <v>63</v>
      </c>
      <c r="G169" s="5" t="n">
        <v>75217</v>
      </c>
      <c r="H169" s="5" t="s">
        <v>64</v>
      </c>
      <c r="I169" s="5" t="s">
        <v>54</v>
      </c>
      <c r="J169" s="5" t="s">
        <v>93</v>
      </c>
      <c r="K169" s="6" t="n">
        <v>660.15</v>
      </c>
      <c r="L169" s="5" t="n">
        <v>9</v>
      </c>
      <c r="M169" s="7" t="n">
        <v>0.2</v>
      </c>
      <c r="N169" s="6" t="n">
        <v>-158.49</v>
      </c>
    </row>
    <row r="170" customFormat="false" ht="15" hidden="false" customHeight="false" outlineLevel="0" collapsed="false">
      <c r="A170" s="5" t="s">
        <v>201</v>
      </c>
      <c r="B170" s="5" t="s">
        <v>83</v>
      </c>
      <c r="C170" s="5" t="s">
        <v>69</v>
      </c>
      <c r="D170" s="5" t="s">
        <v>43</v>
      </c>
      <c r="E170" s="5" t="s">
        <v>70</v>
      </c>
      <c r="F170" s="5" t="s">
        <v>71</v>
      </c>
      <c r="G170" s="5" t="n">
        <v>80219</v>
      </c>
      <c r="H170" s="5" t="s">
        <v>72</v>
      </c>
      <c r="I170" s="5" t="s">
        <v>65</v>
      </c>
      <c r="J170" s="5" t="s">
        <v>138</v>
      </c>
      <c r="K170" s="6" t="n">
        <v>137.46</v>
      </c>
      <c r="L170" s="5" t="n">
        <v>8</v>
      </c>
      <c r="M170" s="7" t="n">
        <v>0.4</v>
      </c>
      <c r="N170" s="6" t="n">
        <v>17.7</v>
      </c>
    </row>
    <row r="171" customFormat="false" ht="15" hidden="false" customHeight="false" outlineLevel="0" collapsed="false">
      <c r="A171" s="5" t="s">
        <v>150</v>
      </c>
      <c r="B171" s="5" t="s">
        <v>57</v>
      </c>
      <c r="C171" s="5" t="s">
        <v>42</v>
      </c>
      <c r="D171" s="5" t="s">
        <v>43</v>
      </c>
      <c r="E171" s="5" t="s">
        <v>62</v>
      </c>
      <c r="F171" s="5" t="s">
        <v>63</v>
      </c>
      <c r="G171" s="5" t="n">
        <v>77095</v>
      </c>
      <c r="H171" s="5" t="s">
        <v>64</v>
      </c>
      <c r="I171" s="5" t="s">
        <v>47</v>
      </c>
      <c r="J171" s="5" t="s">
        <v>84</v>
      </c>
      <c r="K171" s="6" t="n">
        <v>313.3</v>
      </c>
      <c r="L171" s="5" t="n">
        <v>2</v>
      </c>
      <c r="M171" s="7" t="n">
        <v>0</v>
      </c>
      <c r="N171" s="6" t="n">
        <v>6.13</v>
      </c>
    </row>
    <row r="172" customFormat="false" ht="15" hidden="false" customHeight="false" outlineLevel="0" collapsed="false">
      <c r="A172" s="5" t="s">
        <v>283</v>
      </c>
      <c r="B172" s="5" t="s">
        <v>41</v>
      </c>
      <c r="C172" s="5" t="s">
        <v>69</v>
      </c>
      <c r="D172" s="5" t="s">
        <v>43</v>
      </c>
      <c r="E172" s="5" t="s">
        <v>44</v>
      </c>
      <c r="F172" s="5" t="s">
        <v>45</v>
      </c>
      <c r="G172" s="5" t="n">
        <v>10011</v>
      </c>
      <c r="H172" s="5" t="s">
        <v>46</v>
      </c>
      <c r="I172" s="5" t="s">
        <v>65</v>
      </c>
      <c r="J172" s="5" t="s">
        <v>120</v>
      </c>
      <c r="K172" s="6" t="n">
        <v>88.04</v>
      </c>
      <c r="L172" s="5" t="n">
        <v>9</v>
      </c>
      <c r="M172" s="7" t="n">
        <v>0.3</v>
      </c>
      <c r="N172" s="6" t="n">
        <v>8.17</v>
      </c>
    </row>
    <row r="173" customFormat="false" ht="15" hidden="false" customHeight="false" outlineLevel="0" collapsed="false">
      <c r="A173" s="5" t="s">
        <v>224</v>
      </c>
      <c r="B173" s="5" t="s">
        <v>57</v>
      </c>
      <c r="C173" s="5" t="s">
        <v>50</v>
      </c>
      <c r="D173" s="5" t="s">
        <v>43</v>
      </c>
      <c r="E173" s="5" t="s">
        <v>51</v>
      </c>
      <c r="F173" s="5" t="s">
        <v>52</v>
      </c>
      <c r="G173" s="5" t="n">
        <v>37211</v>
      </c>
      <c r="H173" s="5" t="s">
        <v>53</v>
      </c>
      <c r="I173" s="5" t="s">
        <v>54</v>
      </c>
      <c r="J173" s="5" t="s">
        <v>73</v>
      </c>
      <c r="K173" s="6" t="n">
        <v>38.74</v>
      </c>
      <c r="L173" s="5" t="n">
        <v>4</v>
      </c>
      <c r="M173" s="7" t="n">
        <v>0.2</v>
      </c>
      <c r="N173" s="6" t="n">
        <v>8.68</v>
      </c>
    </row>
    <row r="174" customFormat="false" ht="15" hidden="false" customHeight="false" outlineLevel="0" collapsed="false">
      <c r="A174" s="5" t="s">
        <v>371</v>
      </c>
      <c r="B174" s="5" t="s">
        <v>83</v>
      </c>
      <c r="C174" s="5" t="s">
        <v>50</v>
      </c>
      <c r="D174" s="5" t="s">
        <v>43</v>
      </c>
      <c r="E174" s="5" t="s">
        <v>100</v>
      </c>
      <c r="F174" s="5" t="s">
        <v>101</v>
      </c>
      <c r="G174" s="5" t="n">
        <v>19140</v>
      </c>
      <c r="H174" s="5" t="s">
        <v>46</v>
      </c>
      <c r="I174" s="5" t="s">
        <v>47</v>
      </c>
      <c r="J174" s="5" t="s">
        <v>86</v>
      </c>
      <c r="K174" s="6" t="n">
        <v>276.85</v>
      </c>
      <c r="L174" s="5" t="n">
        <v>1</v>
      </c>
      <c r="M174" s="7" t="n">
        <v>0.2</v>
      </c>
      <c r="N174" s="6" t="n">
        <v>-20.51</v>
      </c>
    </row>
    <row r="175" customFormat="false" ht="15" hidden="false" customHeight="false" outlineLevel="0" collapsed="false">
      <c r="A175" s="5" t="s">
        <v>263</v>
      </c>
      <c r="B175" s="5" t="s">
        <v>83</v>
      </c>
      <c r="C175" s="5" t="s">
        <v>42</v>
      </c>
      <c r="D175" s="5" t="s">
        <v>43</v>
      </c>
      <c r="E175" s="5" t="s">
        <v>114</v>
      </c>
      <c r="F175" s="5" t="s">
        <v>115</v>
      </c>
      <c r="G175" s="5" t="n">
        <v>90036</v>
      </c>
      <c r="H175" s="5" t="s">
        <v>72</v>
      </c>
      <c r="I175" s="5" t="s">
        <v>47</v>
      </c>
      <c r="J175" s="5" t="s">
        <v>48</v>
      </c>
      <c r="K175" s="6" t="n">
        <v>306.46</v>
      </c>
      <c r="L175" s="5" t="n">
        <v>6</v>
      </c>
      <c r="M175" s="7" t="n">
        <v>0.3</v>
      </c>
      <c r="N175" s="6" t="n">
        <v>-6.08</v>
      </c>
    </row>
    <row r="176" customFormat="false" ht="15" hidden="false" customHeight="false" outlineLevel="0" collapsed="false">
      <c r="A176" s="5" t="s">
        <v>401</v>
      </c>
      <c r="B176" s="5" t="s">
        <v>68</v>
      </c>
      <c r="C176" s="5" t="s">
        <v>42</v>
      </c>
      <c r="D176" s="5" t="s">
        <v>43</v>
      </c>
      <c r="E176" s="5" t="s">
        <v>176</v>
      </c>
      <c r="F176" s="5" t="s">
        <v>177</v>
      </c>
      <c r="G176" s="5" t="n">
        <v>55407</v>
      </c>
      <c r="H176" s="5" t="s">
        <v>64</v>
      </c>
      <c r="I176" s="5" t="s">
        <v>47</v>
      </c>
      <c r="J176" s="5" t="s">
        <v>86</v>
      </c>
      <c r="K176" s="6" t="n">
        <v>89.04</v>
      </c>
      <c r="L176" s="5" t="n">
        <v>1</v>
      </c>
      <c r="M176" s="7" t="n">
        <v>0.5</v>
      </c>
      <c r="N176" s="6" t="n">
        <v>-31.34</v>
      </c>
    </row>
    <row r="177" customFormat="false" ht="15" hidden="false" customHeight="false" outlineLevel="0" collapsed="false">
      <c r="A177" s="5" t="s">
        <v>204</v>
      </c>
      <c r="B177" s="5" t="s">
        <v>83</v>
      </c>
      <c r="C177" s="5" t="s">
        <v>50</v>
      </c>
      <c r="D177" s="5" t="s">
        <v>43</v>
      </c>
      <c r="E177" s="5" t="s">
        <v>79</v>
      </c>
      <c r="F177" s="5" t="s">
        <v>80</v>
      </c>
      <c r="G177" s="5" t="n">
        <v>2127</v>
      </c>
      <c r="H177" s="5" t="s">
        <v>46</v>
      </c>
      <c r="I177" s="5" t="s">
        <v>54</v>
      </c>
      <c r="J177" s="5" t="s">
        <v>55</v>
      </c>
      <c r="K177" s="6" t="n">
        <v>102</v>
      </c>
      <c r="L177" s="5" t="n">
        <v>2</v>
      </c>
      <c r="M177" s="7" t="n">
        <v>0</v>
      </c>
      <c r="N177" s="6" t="n">
        <v>43.16</v>
      </c>
    </row>
    <row r="178" customFormat="false" ht="15" hidden="false" customHeight="false" outlineLevel="0" collapsed="false">
      <c r="A178" s="5" t="s">
        <v>244</v>
      </c>
      <c r="B178" s="5" t="s">
        <v>68</v>
      </c>
      <c r="C178" s="5" t="s">
        <v>42</v>
      </c>
      <c r="D178" s="5" t="s">
        <v>43</v>
      </c>
      <c r="E178" s="5" t="s">
        <v>51</v>
      </c>
      <c r="F178" s="5" t="s">
        <v>52</v>
      </c>
      <c r="G178" s="5" t="n">
        <v>37211</v>
      </c>
      <c r="H178" s="5" t="s">
        <v>53</v>
      </c>
      <c r="I178" s="5" t="s">
        <v>47</v>
      </c>
      <c r="J178" s="5" t="s">
        <v>60</v>
      </c>
      <c r="K178" s="6" t="n">
        <v>456.33</v>
      </c>
      <c r="L178" s="5" t="n">
        <v>6</v>
      </c>
      <c r="M178" s="7" t="n">
        <v>0</v>
      </c>
      <c r="N178" s="6" t="n">
        <v>48.35</v>
      </c>
    </row>
    <row r="179" customFormat="false" ht="15" hidden="false" customHeight="false" outlineLevel="0" collapsed="false">
      <c r="A179" s="5" t="s">
        <v>269</v>
      </c>
      <c r="B179" s="5" t="s">
        <v>57</v>
      </c>
      <c r="C179" s="5" t="s">
        <v>42</v>
      </c>
      <c r="D179" s="5" t="s">
        <v>43</v>
      </c>
      <c r="E179" s="5" t="s">
        <v>104</v>
      </c>
      <c r="F179" s="5" t="s">
        <v>105</v>
      </c>
      <c r="G179" s="5" t="n">
        <v>28205</v>
      </c>
      <c r="H179" s="5" t="s">
        <v>53</v>
      </c>
      <c r="I179" s="5" t="s">
        <v>47</v>
      </c>
      <c r="J179" s="5" t="s">
        <v>48</v>
      </c>
      <c r="K179" s="6" t="n">
        <v>487.33</v>
      </c>
      <c r="L179" s="5" t="n">
        <v>8</v>
      </c>
      <c r="M179" s="7" t="n">
        <v>0</v>
      </c>
      <c r="N179" s="6" t="n">
        <v>63.01</v>
      </c>
    </row>
    <row r="180" customFormat="false" ht="15" hidden="false" customHeight="false" outlineLevel="0" collapsed="false">
      <c r="A180" s="5" t="s">
        <v>227</v>
      </c>
      <c r="B180" s="5" t="s">
        <v>68</v>
      </c>
      <c r="C180" s="5" t="s">
        <v>69</v>
      </c>
      <c r="D180" s="5" t="s">
        <v>43</v>
      </c>
      <c r="E180" s="5" t="s">
        <v>70</v>
      </c>
      <c r="F180" s="5" t="s">
        <v>71</v>
      </c>
      <c r="G180" s="5" t="n">
        <v>80219</v>
      </c>
      <c r="H180" s="5" t="s">
        <v>72</v>
      </c>
      <c r="I180" s="5" t="s">
        <v>65</v>
      </c>
      <c r="J180" s="5" t="s">
        <v>138</v>
      </c>
      <c r="K180" s="6" t="n">
        <v>13.25</v>
      </c>
      <c r="L180" s="5" t="n">
        <v>8</v>
      </c>
      <c r="M180" s="7" t="n">
        <v>0.4</v>
      </c>
      <c r="N180" s="6" t="n">
        <v>0.57</v>
      </c>
    </row>
    <row r="181" customFormat="false" ht="15" hidden="false" customHeight="false" outlineLevel="0" collapsed="false">
      <c r="A181" s="5" t="s">
        <v>299</v>
      </c>
      <c r="B181" s="5" t="s">
        <v>83</v>
      </c>
      <c r="C181" s="5" t="s">
        <v>42</v>
      </c>
      <c r="D181" s="5" t="s">
        <v>43</v>
      </c>
      <c r="E181" s="5" t="s">
        <v>70</v>
      </c>
      <c r="F181" s="5" t="s">
        <v>71</v>
      </c>
      <c r="G181" s="5" t="n">
        <v>80219</v>
      </c>
      <c r="H181" s="5" t="s">
        <v>72</v>
      </c>
      <c r="I181" s="5" t="s">
        <v>65</v>
      </c>
      <c r="J181" s="5" t="s">
        <v>109</v>
      </c>
      <c r="K181" s="6" t="n">
        <v>174.97</v>
      </c>
      <c r="L181" s="5" t="n">
        <v>4</v>
      </c>
      <c r="M181" s="7" t="n">
        <v>0.15</v>
      </c>
      <c r="N181" s="6" t="n">
        <v>41.96</v>
      </c>
    </row>
    <row r="182" customFormat="false" ht="15" hidden="false" customHeight="false" outlineLevel="0" collapsed="false">
      <c r="A182" s="5" t="s">
        <v>128</v>
      </c>
      <c r="B182" s="5" t="s">
        <v>41</v>
      </c>
      <c r="C182" s="5" t="s">
        <v>69</v>
      </c>
      <c r="D182" s="5" t="s">
        <v>43</v>
      </c>
      <c r="E182" s="5" t="s">
        <v>95</v>
      </c>
      <c r="F182" s="5" t="s">
        <v>96</v>
      </c>
      <c r="G182" s="5" t="n">
        <v>97206</v>
      </c>
      <c r="H182" s="5" t="s">
        <v>72</v>
      </c>
      <c r="I182" s="5" t="s">
        <v>65</v>
      </c>
      <c r="J182" s="5" t="s">
        <v>122</v>
      </c>
      <c r="K182" s="6" t="n">
        <v>11.89</v>
      </c>
      <c r="L182" s="5" t="n">
        <v>9</v>
      </c>
      <c r="M182" s="7" t="n">
        <v>0.2</v>
      </c>
      <c r="N182" s="6" t="n">
        <v>2.57</v>
      </c>
    </row>
    <row r="183" customFormat="false" ht="15" hidden="false" customHeight="false" outlineLevel="0" collapsed="false">
      <c r="A183" s="5" t="s">
        <v>149</v>
      </c>
      <c r="B183" s="5" t="s">
        <v>41</v>
      </c>
      <c r="C183" s="5" t="s">
        <v>42</v>
      </c>
      <c r="D183" s="5" t="s">
        <v>43</v>
      </c>
      <c r="E183" s="5" t="s">
        <v>95</v>
      </c>
      <c r="F183" s="5" t="s">
        <v>96</v>
      </c>
      <c r="G183" s="5" t="n">
        <v>97206</v>
      </c>
      <c r="H183" s="5" t="s">
        <v>72</v>
      </c>
      <c r="I183" s="5" t="s">
        <v>47</v>
      </c>
      <c r="J183" s="5" t="s">
        <v>60</v>
      </c>
      <c r="K183" s="6" t="n">
        <v>38.66</v>
      </c>
      <c r="L183" s="5" t="n">
        <v>1</v>
      </c>
      <c r="M183" s="7" t="n">
        <v>0.15</v>
      </c>
      <c r="N183" s="6" t="n">
        <v>2.61</v>
      </c>
    </row>
    <row r="184" customFormat="false" ht="15" hidden="false" customHeight="false" outlineLevel="0" collapsed="false">
      <c r="A184" s="5" t="s">
        <v>341</v>
      </c>
      <c r="B184" s="5" t="s">
        <v>57</v>
      </c>
      <c r="C184" s="5" t="s">
        <v>42</v>
      </c>
      <c r="D184" s="5" t="s">
        <v>43</v>
      </c>
      <c r="E184" s="5" t="s">
        <v>107</v>
      </c>
      <c r="F184" s="5" t="s">
        <v>108</v>
      </c>
      <c r="G184" s="5" t="n">
        <v>7102</v>
      </c>
      <c r="H184" s="5" t="s">
        <v>46</v>
      </c>
      <c r="I184" s="5" t="s">
        <v>54</v>
      </c>
      <c r="J184" s="5" t="s">
        <v>77</v>
      </c>
      <c r="K184" s="6" t="n">
        <v>166.73</v>
      </c>
      <c r="L184" s="5" t="n">
        <v>1</v>
      </c>
      <c r="M184" s="7" t="n">
        <v>0</v>
      </c>
      <c r="N184" s="6" t="n">
        <v>84.08</v>
      </c>
    </row>
    <row r="185" customFormat="false" ht="15" hidden="false" customHeight="false" outlineLevel="0" collapsed="false">
      <c r="A185" s="5" t="s">
        <v>273</v>
      </c>
      <c r="B185" s="5" t="s">
        <v>83</v>
      </c>
      <c r="C185" s="5" t="s">
        <v>50</v>
      </c>
      <c r="D185" s="5" t="s">
        <v>43</v>
      </c>
      <c r="E185" s="5" t="s">
        <v>70</v>
      </c>
      <c r="F185" s="5" t="s">
        <v>71</v>
      </c>
      <c r="G185" s="5" t="n">
        <v>80219</v>
      </c>
      <c r="H185" s="5" t="s">
        <v>72</v>
      </c>
      <c r="I185" s="5" t="s">
        <v>54</v>
      </c>
      <c r="J185" s="5" t="s">
        <v>73</v>
      </c>
      <c r="K185" s="6" t="n">
        <v>195.39</v>
      </c>
      <c r="L185" s="5" t="n">
        <v>3</v>
      </c>
      <c r="M185" s="7" t="n">
        <v>0.2</v>
      </c>
      <c r="N185" s="6" t="n">
        <v>56.95</v>
      </c>
    </row>
    <row r="186" customFormat="false" ht="15" hidden="false" customHeight="false" outlineLevel="0" collapsed="false">
      <c r="A186" s="5" t="s">
        <v>363</v>
      </c>
      <c r="B186" s="5" t="s">
        <v>83</v>
      </c>
      <c r="C186" s="5" t="s">
        <v>42</v>
      </c>
      <c r="D186" s="5" t="s">
        <v>43</v>
      </c>
      <c r="E186" s="5" t="s">
        <v>62</v>
      </c>
      <c r="F186" s="5" t="s">
        <v>63</v>
      </c>
      <c r="G186" s="5" t="n">
        <v>77095</v>
      </c>
      <c r="H186" s="5" t="s">
        <v>64</v>
      </c>
      <c r="I186" s="5" t="s">
        <v>54</v>
      </c>
      <c r="J186" s="5" t="s">
        <v>55</v>
      </c>
      <c r="K186" s="6" t="n">
        <v>73.29</v>
      </c>
      <c r="L186" s="5" t="n">
        <v>8</v>
      </c>
      <c r="M186" s="7" t="n">
        <v>0</v>
      </c>
      <c r="N186" s="6" t="n">
        <v>31.42</v>
      </c>
    </row>
    <row r="187" customFormat="false" ht="15" hidden="false" customHeight="false" outlineLevel="0" collapsed="false">
      <c r="A187" s="5" t="s">
        <v>154</v>
      </c>
      <c r="B187" s="5" t="s">
        <v>68</v>
      </c>
      <c r="C187" s="5" t="s">
        <v>50</v>
      </c>
      <c r="D187" s="5" t="s">
        <v>43</v>
      </c>
      <c r="E187" s="5" t="s">
        <v>79</v>
      </c>
      <c r="F187" s="5" t="s">
        <v>80</v>
      </c>
      <c r="G187" s="5" t="n">
        <v>2127</v>
      </c>
      <c r="H187" s="5" t="s">
        <v>46</v>
      </c>
      <c r="I187" s="5" t="s">
        <v>54</v>
      </c>
      <c r="J187" s="5" t="s">
        <v>93</v>
      </c>
      <c r="K187" s="6" t="n">
        <v>39.55</v>
      </c>
      <c r="L187" s="5" t="n">
        <v>2</v>
      </c>
      <c r="M187" s="7" t="n">
        <v>0.7</v>
      </c>
      <c r="N187" s="6" t="n">
        <v>3.39</v>
      </c>
    </row>
    <row r="188" customFormat="false" ht="15" hidden="false" customHeight="false" outlineLevel="0" collapsed="false">
      <c r="A188" s="5" t="s">
        <v>145</v>
      </c>
      <c r="B188" s="5" t="s">
        <v>41</v>
      </c>
      <c r="C188" s="5" t="s">
        <v>69</v>
      </c>
      <c r="D188" s="5" t="s">
        <v>43</v>
      </c>
      <c r="E188" s="5" t="s">
        <v>114</v>
      </c>
      <c r="F188" s="5" t="s">
        <v>115</v>
      </c>
      <c r="G188" s="5" t="n">
        <v>90036</v>
      </c>
      <c r="H188" s="5" t="s">
        <v>72</v>
      </c>
      <c r="I188" s="5" t="s">
        <v>65</v>
      </c>
      <c r="J188" s="5" t="s">
        <v>122</v>
      </c>
      <c r="K188" s="6" t="n">
        <v>7.04</v>
      </c>
      <c r="L188" s="5" t="n">
        <v>1</v>
      </c>
      <c r="M188" s="7" t="n">
        <v>0</v>
      </c>
      <c r="N188" s="6" t="n">
        <v>2.67</v>
      </c>
    </row>
    <row r="189" customFormat="false" ht="15" hidden="false" customHeight="false" outlineLevel="0" collapsed="false">
      <c r="A189" s="5" t="s">
        <v>320</v>
      </c>
      <c r="B189" s="5" t="s">
        <v>68</v>
      </c>
      <c r="C189" s="5" t="s">
        <v>42</v>
      </c>
      <c r="D189" s="5" t="s">
        <v>43</v>
      </c>
      <c r="E189" s="5" t="s">
        <v>112</v>
      </c>
      <c r="F189" s="5" t="s">
        <v>63</v>
      </c>
      <c r="G189" s="5" t="n">
        <v>75217</v>
      </c>
      <c r="H189" s="5" t="s">
        <v>64</v>
      </c>
      <c r="I189" s="5" t="s">
        <v>54</v>
      </c>
      <c r="J189" s="5" t="s">
        <v>77</v>
      </c>
      <c r="K189" s="6" t="n">
        <v>153.06</v>
      </c>
      <c r="L189" s="5" t="n">
        <v>4</v>
      </c>
      <c r="M189" s="7" t="n">
        <v>0.1</v>
      </c>
      <c r="N189" s="6" t="n">
        <v>64.2</v>
      </c>
    </row>
    <row r="190" customFormat="false" ht="15" hidden="false" customHeight="false" outlineLevel="0" collapsed="false">
      <c r="A190" s="5" t="s">
        <v>191</v>
      </c>
      <c r="B190" s="5" t="s">
        <v>68</v>
      </c>
      <c r="C190" s="5" t="s">
        <v>69</v>
      </c>
      <c r="D190" s="5" t="s">
        <v>43</v>
      </c>
      <c r="E190" s="5" t="s">
        <v>112</v>
      </c>
      <c r="F190" s="5" t="s">
        <v>63</v>
      </c>
      <c r="G190" s="5" t="n">
        <v>75217</v>
      </c>
      <c r="H190" s="5" t="s">
        <v>64</v>
      </c>
      <c r="I190" s="5" t="s">
        <v>65</v>
      </c>
      <c r="J190" s="5" t="s">
        <v>138</v>
      </c>
      <c r="K190" s="6" t="n">
        <v>72.3</v>
      </c>
      <c r="L190" s="5" t="n">
        <v>7</v>
      </c>
      <c r="M190" s="7" t="n">
        <v>0</v>
      </c>
      <c r="N190" s="6" t="n">
        <v>17.97</v>
      </c>
    </row>
    <row r="191" customFormat="false" ht="15" hidden="false" customHeight="false" outlineLevel="0" collapsed="false">
      <c r="A191" s="5" t="s">
        <v>262</v>
      </c>
      <c r="B191" s="5" t="s">
        <v>83</v>
      </c>
      <c r="C191" s="5" t="s">
        <v>50</v>
      </c>
      <c r="D191" s="5" t="s">
        <v>43</v>
      </c>
      <c r="E191" s="5" t="s">
        <v>95</v>
      </c>
      <c r="F191" s="5" t="s">
        <v>96</v>
      </c>
      <c r="G191" s="5" t="n">
        <v>97206</v>
      </c>
      <c r="H191" s="5" t="s">
        <v>72</v>
      </c>
      <c r="I191" s="5" t="s">
        <v>65</v>
      </c>
      <c r="J191" s="5" t="s">
        <v>122</v>
      </c>
      <c r="K191" s="6" t="n">
        <v>6.51</v>
      </c>
      <c r="L191" s="5" t="n">
        <v>8</v>
      </c>
      <c r="M191" s="7" t="n">
        <v>0</v>
      </c>
      <c r="N191" s="6" t="n">
        <v>2.73</v>
      </c>
    </row>
    <row r="192" customFormat="false" ht="15" hidden="false" customHeight="false" outlineLevel="0" collapsed="false">
      <c r="A192" s="5" t="s">
        <v>230</v>
      </c>
      <c r="B192" s="5" t="s">
        <v>57</v>
      </c>
      <c r="C192" s="5" t="s">
        <v>42</v>
      </c>
      <c r="D192" s="5" t="s">
        <v>43</v>
      </c>
      <c r="E192" s="5" t="s">
        <v>118</v>
      </c>
      <c r="F192" s="5" t="s">
        <v>119</v>
      </c>
      <c r="G192" s="5" t="n">
        <v>98103</v>
      </c>
      <c r="H192" s="5" t="s">
        <v>72</v>
      </c>
      <c r="I192" s="5" t="s">
        <v>65</v>
      </c>
      <c r="J192" s="5" t="s">
        <v>122</v>
      </c>
      <c r="K192" s="6" t="n">
        <v>52.24</v>
      </c>
      <c r="L192" s="5" t="n">
        <v>6</v>
      </c>
      <c r="M192" s="7" t="n">
        <v>0</v>
      </c>
      <c r="N192" s="6" t="n">
        <v>25.1</v>
      </c>
    </row>
    <row r="193" customFormat="false" ht="15" hidden="false" customHeight="false" outlineLevel="0" collapsed="false">
      <c r="A193" s="5" t="s">
        <v>257</v>
      </c>
      <c r="B193" s="5" t="s">
        <v>41</v>
      </c>
      <c r="C193" s="5" t="s">
        <v>50</v>
      </c>
      <c r="D193" s="5" t="s">
        <v>43</v>
      </c>
      <c r="E193" s="5" t="s">
        <v>118</v>
      </c>
      <c r="F193" s="5" t="s">
        <v>119</v>
      </c>
      <c r="G193" s="5" t="n">
        <v>98103</v>
      </c>
      <c r="H193" s="5" t="s">
        <v>72</v>
      </c>
      <c r="I193" s="5" t="s">
        <v>54</v>
      </c>
      <c r="J193" s="5" t="s">
        <v>77</v>
      </c>
      <c r="K193" s="6" t="n">
        <v>29.98</v>
      </c>
      <c r="L193" s="5" t="n">
        <v>8</v>
      </c>
      <c r="M193" s="7" t="n">
        <v>0.1</v>
      </c>
      <c r="N193" s="6" t="n">
        <v>13.76</v>
      </c>
    </row>
    <row r="194" customFormat="false" ht="15" hidden="false" customHeight="false" outlineLevel="0" collapsed="false">
      <c r="A194" s="5" t="s">
        <v>216</v>
      </c>
      <c r="B194" s="5" t="s">
        <v>41</v>
      </c>
      <c r="C194" s="5" t="s">
        <v>50</v>
      </c>
      <c r="D194" s="5" t="s">
        <v>43</v>
      </c>
      <c r="E194" s="5" t="s">
        <v>100</v>
      </c>
      <c r="F194" s="5" t="s">
        <v>101</v>
      </c>
      <c r="G194" s="5" t="n">
        <v>19140</v>
      </c>
      <c r="H194" s="5" t="s">
        <v>46</v>
      </c>
      <c r="I194" s="5" t="s">
        <v>47</v>
      </c>
      <c r="J194" s="5" t="s">
        <v>84</v>
      </c>
      <c r="K194" s="6" t="n">
        <v>67.74</v>
      </c>
      <c r="L194" s="5" t="n">
        <v>5</v>
      </c>
      <c r="M194" s="7" t="n">
        <v>0.2</v>
      </c>
      <c r="N194" s="6" t="n">
        <v>-9.62</v>
      </c>
    </row>
    <row r="195" customFormat="false" ht="15" hidden="false" customHeight="false" outlineLevel="0" collapsed="false">
      <c r="A195" s="5" t="s">
        <v>78</v>
      </c>
      <c r="B195" s="5" t="s">
        <v>41</v>
      </c>
      <c r="C195" s="5" t="s">
        <v>42</v>
      </c>
      <c r="D195" s="5" t="s">
        <v>43</v>
      </c>
      <c r="E195" s="5" t="s">
        <v>79</v>
      </c>
      <c r="F195" s="5" t="s">
        <v>80</v>
      </c>
      <c r="G195" s="5" t="n">
        <v>2127</v>
      </c>
      <c r="H195" s="5" t="s">
        <v>46</v>
      </c>
      <c r="I195" s="5" t="s">
        <v>65</v>
      </c>
      <c r="J195" s="5" t="s">
        <v>81</v>
      </c>
      <c r="K195" s="6" t="n">
        <v>41.95</v>
      </c>
      <c r="L195" s="5" t="n">
        <v>9</v>
      </c>
      <c r="M195" s="7" t="n">
        <v>0</v>
      </c>
      <c r="N195" s="6" t="n">
        <v>11.74</v>
      </c>
    </row>
    <row r="196" customFormat="false" ht="15" hidden="false" customHeight="false" outlineLevel="0" collapsed="false">
      <c r="A196" s="5" t="s">
        <v>337</v>
      </c>
      <c r="B196" s="5" t="s">
        <v>41</v>
      </c>
      <c r="C196" s="5" t="s">
        <v>42</v>
      </c>
      <c r="D196" s="5" t="s">
        <v>43</v>
      </c>
      <c r="E196" s="5" t="s">
        <v>79</v>
      </c>
      <c r="F196" s="5" t="s">
        <v>80</v>
      </c>
      <c r="G196" s="5" t="n">
        <v>2127</v>
      </c>
      <c r="H196" s="5" t="s">
        <v>46</v>
      </c>
      <c r="I196" s="5" t="s">
        <v>47</v>
      </c>
      <c r="J196" s="5" t="s">
        <v>86</v>
      </c>
      <c r="K196" s="6" t="n">
        <v>215.98</v>
      </c>
      <c r="L196" s="5" t="n">
        <v>4</v>
      </c>
      <c r="M196" s="7" t="n">
        <v>0</v>
      </c>
      <c r="N196" s="6" t="n">
        <v>4.58</v>
      </c>
    </row>
    <row r="197" customFormat="false" ht="15" hidden="false" customHeight="false" outlineLevel="0" collapsed="false">
      <c r="A197" s="5" t="s">
        <v>351</v>
      </c>
      <c r="B197" s="5" t="s">
        <v>41</v>
      </c>
      <c r="C197" s="5" t="s">
        <v>42</v>
      </c>
      <c r="D197" s="5" t="s">
        <v>43</v>
      </c>
      <c r="E197" s="5" t="s">
        <v>62</v>
      </c>
      <c r="F197" s="5" t="s">
        <v>63</v>
      </c>
      <c r="G197" s="5" t="n">
        <v>77095</v>
      </c>
      <c r="H197" s="5" t="s">
        <v>64</v>
      </c>
      <c r="I197" s="5" t="s">
        <v>47</v>
      </c>
      <c r="J197" s="5" t="s">
        <v>48</v>
      </c>
      <c r="K197" s="6" t="n">
        <v>132.54</v>
      </c>
      <c r="L197" s="5" t="n">
        <v>7</v>
      </c>
      <c r="M197" s="7" t="n">
        <v>0.1</v>
      </c>
      <c r="N197" s="6" t="n">
        <v>11.95</v>
      </c>
    </row>
    <row r="198" customFormat="false" ht="15" hidden="false" customHeight="false" outlineLevel="0" collapsed="false">
      <c r="A198" s="5" t="s">
        <v>110</v>
      </c>
      <c r="B198" s="5" t="s">
        <v>83</v>
      </c>
      <c r="C198" s="5" t="s">
        <v>42</v>
      </c>
      <c r="D198" s="5" t="s">
        <v>43</v>
      </c>
      <c r="E198" s="5" t="s">
        <v>91</v>
      </c>
      <c r="F198" s="5" t="s">
        <v>92</v>
      </c>
      <c r="G198" s="5" t="n">
        <v>33311</v>
      </c>
      <c r="H198" s="5" t="s">
        <v>53</v>
      </c>
      <c r="I198" s="5" t="s">
        <v>54</v>
      </c>
      <c r="J198" s="5" t="s">
        <v>93</v>
      </c>
      <c r="K198" s="6" t="n">
        <v>234.53</v>
      </c>
      <c r="L198" s="5" t="n">
        <v>3</v>
      </c>
      <c r="M198" s="7" t="n">
        <v>0</v>
      </c>
      <c r="N198" s="6" t="n">
        <v>100.34</v>
      </c>
    </row>
    <row r="199" customFormat="false" ht="15" hidden="false" customHeight="false" outlineLevel="0" collapsed="false">
      <c r="A199" s="5" t="s">
        <v>362</v>
      </c>
      <c r="B199" s="5" t="s">
        <v>68</v>
      </c>
      <c r="C199" s="5" t="s">
        <v>69</v>
      </c>
      <c r="D199" s="5" t="s">
        <v>43</v>
      </c>
      <c r="E199" s="5" t="s">
        <v>100</v>
      </c>
      <c r="F199" s="5" t="s">
        <v>101</v>
      </c>
      <c r="G199" s="5" t="n">
        <v>19140</v>
      </c>
      <c r="H199" s="5" t="s">
        <v>46</v>
      </c>
      <c r="I199" s="5" t="s">
        <v>54</v>
      </c>
      <c r="J199" s="5" t="s">
        <v>77</v>
      </c>
      <c r="K199" s="6" t="n">
        <v>24.28</v>
      </c>
      <c r="L199" s="5" t="n">
        <v>8</v>
      </c>
      <c r="M199" s="7" t="n">
        <v>0.2</v>
      </c>
      <c r="N199" s="6" t="n">
        <v>8.53</v>
      </c>
    </row>
    <row r="200" customFormat="false" ht="15" hidden="false" customHeight="false" outlineLevel="0" collapsed="false">
      <c r="A200" s="5" t="s">
        <v>364</v>
      </c>
      <c r="B200" s="5" t="s">
        <v>83</v>
      </c>
      <c r="C200" s="5" t="s">
        <v>42</v>
      </c>
      <c r="D200" s="5" t="s">
        <v>43</v>
      </c>
      <c r="E200" s="5" t="s">
        <v>79</v>
      </c>
      <c r="F200" s="5" t="s">
        <v>80</v>
      </c>
      <c r="G200" s="5" t="n">
        <v>2127</v>
      </c>
      <c r="H200" s="5" t="s">
        <v>46</v>
      </c>
      <c r="I200" s="5" t="s">
        <v>54</v>
      </c>
      <c r="J200" s="5" t="s">
        <v>77</v>
      </c>
      <c r="K200" s="6" t="n">
        <v>123.33</v>
      </c>
      <c r="L200" s="5" t="n">
        <v>4</v>
      </c>
      <c r="M200" s="7" t="n">
        <v>0</v>
      </c>
      <c r="N200" s="6" t="n">
        <v>59.78</v>
      </c>
    </row>
    <row r="201" customFormat="false" ht="15" hidden="false" customHeight="false" outlineLevel="0" collapsed="false">
      <c r="A201" s="5" t="s">
        <v>365</v>
      </c>
      <c r="B201" s="5" t="s">
        <v>41</v>
      </c>
      <c r="C201" s="5" t="s">
        <v>50</v>
      </c>
      <c r="D201" s="5" t="s">
        <v>43</v>
      </c>
      <c r="E201" s="5" t="s">
        <v>176</v>
      </c>
      <c r="F201" s="5" t="s">
        <v>177</v>
      </c>
      <c r="G201" s="5" t="n">
        <v>55407</v>
      </c>
      <c r="H201" s="5" t="s">
        <v>64</v>
      </c>
      <c r="I201" s="5" t="s">
        <v>54</v>
      </c>
      <c r="J201" s="5" t="s">
        <v>93</v>
      </c>
      <c r="K201" s="6" t="n">
        <v>126.65</v>
      </c>
      <c r="L201" s="5" t="n">
        <v>8</v>
      </c>
      <c r="M201" s="7" t="n">
        <v>0.2</v>
      </c>
      <c r="N201" s="6" t="n">
        <v>52.69</v>
      </c>
    </row>
    <row r="202" customFormat="false" ht="15" hidden="false" customHeight="false" outlineLevel="0" collapsed="false">
      <c r="A202" s="5" t="s">
        <v>372</v>
      </c>
      <c r="B202" s="5" t="s">
        <v>41</v>
      </c>
      <c r="C202" s="5" t="s">
        <v>50</v>
      </c>
      <c r="D202" s="5" t="s">
        <v>43</v>
      </c>
      <c r="E202" s="5" t="s">
        <v>95</v>
      </c>
      <c r="F202" s="5" t="s">
        <v>96</v>
      </c>
      <c r="G202" s="5" t="n">
        <v>97206</v>
      </c>
      <c r="H202" s="5" t="s">
        <v>72</v>
      </c>
      <c r="I202" s="5" t="s">
        <v>47</v>
      </c>
      <c r="J202" s="5" t="s">
        <v>60</v>
      </c>
      <c r="K202" s="6" t="n">
        <v>33.8</v>
      </c>
      <c r="L202" s="5" t="n">
        <v>6</v>
      </c>
      <c r="M202" s="7" t="n">
        <v>0.15</v>
      </c>
      <c r="N202" s="6" t="n">
        <v>-0.41</v>
      </c>
    </row>
    <row r="203" customFormat="false" ht="15" hidden="false" customHeight="false" outlineLevel="0" collapsed="false">
      <c r="A203" s="5" t="s">
        <v>229</v>
      </c>
      <c r="B203" s="5" t="s">
        <v>68</v>
      </c>
      <c r="C203" s="5" t="s">
        <v>42</v>
      </c>
      <c r="D203" s="5" t="s">
        <v>43</v>
      </c>
      <c r="E203" s="5" t="s">
        <v>104</v>
      </c>
      <c r="F203" s="5" t="s">
        <v>105</v>
      </c>
      <c r="G203" s="5" t="n">
        <v>28205</v>
      </c>
      <c r="H203" s="5" t="s">
        <v>53</v>
      </c>
      <c r="I203" s="5" t="s">
        <v>65</v>
      </c>
      <c r="J203" s="5" t="s">
        <v>122</v>
      </c>
      <c r="K203" s="6" t="n">
        <v>23.11</v>
      </c>
      <c r="L203" s="5" t="n">
        <v>1</v>
      </c>
      <c r="M203" s="7" t="n">
        <v>0</v>
      </c>
      <c r="N203" s="6" t="n">
        <v>10.33</v>
      </c>
    </row>
    <row r="204" customFormat="false" ht="15" hidden="false" customHeight="false" outlineLevel="0" collapsed="false">
      <c r="A204" s="5" t="s">
        <v>344</v>
      </c>
      <c r="B204" s="5" t="s">
        <v>41</v>
      </c>
      <c r="C204" s="5" t="s">
        <v>69</v>
      </c>
      <c r="D204" s="5" t="s">
        <v>43</v>
      </c>
      <c r="E204" s="5" t="s">
        <v>91</v>
      </c>
      <c r="F204" s="5" t="s">
        <v>92</v>
      </c>
      <c r="G204" s="5" t="n">
        <v>33311</v>
      </c>
      <c r="H204" s="5" t="s">
        <v>53</v>
      </c>
      <c r="I204" s="5" t="s">
        <v>54</v>
      </c>
      <c r="J204" s="5" t="s">
        <v>55</v>
      </c>
      <c r="K204" s="6" t="n">
        <v>103.02</v>
      </c>
      <c r="L204" s="5" t="n">
        <v>1</v>
      </c>
      <c r="M204" s="7" t="n">
        <v>0.3</v>
      </c>
      <c r="N204" s="6" t="n">
        <v>19.66</v>
      </c>
    </row>
    <row r="205" customFormat="false" ht="15" hidden="false" customHeight="false" outlineLevel="0" collapsed="false">
      <c r="A205" s="5" t="s">
        <v>388</v>
      </c>
      <c r="B205" s="5" t="s">
        <v>83</v>
      </c>
      <c r="C205" s="5" t="s">
        <v>69</v>
      </c>
      <c r="D205" s="5" t="s">
        <v>43</v>
      </c>
      <c r="E205" s="5" t="s">
        <v>62</v>
      </c>
      <c r="F205" s="5" t="s">
        <v>63</v>
      </c>
      <c r="G205" s="5" t="n">
        <v>77095</v>
      </c>
      <c r="H205" s="5" t="s">
        <v>64</v>
      </c>
      <c r="I205" s="5" t="s">
        <v>54</v>
      </c>
      <c r="J205" s="5" t="s">
        <v>55</v>
      </c>
      <c r="K205" s="6" t="n">
        <v>723.05</v>
      </c>
      <c r="L205" s="5" t="n">
        <v>4</v>
      </c>
      <c r="M205" s="7" t="n">
        <v>0.1</v>
      </c>
      <c r="N205" s="6" t="n">
        <v>278.8</v>
      </c>
    </row>
    <row r="206" customFormat="false" ht="15" hidden="false" customHeight="false" outlineLevel="0" collapsed="false">
      <c r="A206" s="5" t="s">
        <v>348</v>
      </c>
      <c r="B206" s="5" t="s">
        <v>41</v>
      </c>
      <c r="C206" s="5" t="s">
        <v>42</v>
      </c>
      <c r="D206" s="5" t="s">
        <v>43</v>
      </c>
      <c r="E206" s="5" t="s">
        <v>58</v>
      </c>
      <c r="F206" s="5" t="s">
        <v>59</v>
      </c>
      <c r="G206" s="5" t="n">
        <v>30318</v>
      </c>
      <c r="H206" s="5" t="s">
        <v>53</v>
      </c>
      <c r="I206" s="5" t="s">
        <v>47</v>
      </c>
      <c r="J206" s="5" t="s">
        <v>48</v>
      </c>
      <c r="K206" s="6" t="n">
        <v>172.28</v>
      </c>
      <c r="L206" s="5" t="n">
        <v>4</v>
      </c>
      <c r="M206" s="7" t="n">
        <v>0.15</v>
      </c>
      <c r="N206" s="6" t="n">
        <v>1.28</v>
      </c>
    </row>
    <row r="207" customFormat="false" ht="15" hidden="false" customHeight="false" outlineLevel="0" collapsed="false">
      <c r="A207" s="5" t="s">
        <v>173</v>
      </c>
      <c r="B207" s="5" t="s">
        <v>57</v>
      </c>
      <c r="C207" s="5" t="s">
        <v>42</v>
      </c>
      <c r="D207" s="5" t="s">
        <v>43</v>
      </c>
      <c r="E207" s="5" t="s">
        <v>58</v>
      </c>
      <c r="F207" s="5" t="s">
        <v>59</v>
      </c>
      <c r="G207" s="5" t="n">
        <v>30318</v>
      </c>
      <c r="H207" s="5" t="s">
        <v>53</v>
      </c>
      <c r="I207" s="5" t="s">
        <v>47</v>
      </c>
      <c r="J207" s="5" t="s">
        <v>86</v>
      </c>
      <c r="K207" s="6" t="n">
        <v>110.78</v>
      </c>
      <c r="L207" s="5" t="n">
        <v>1</v>
      </c>
      <c r="M207" s="7" t="n">
        <v>0.1</v>
      </c>
      <c r="N207" s="6" t="n">
        <v>-4.94</v>
      </c>
    </row>
    <row r="208" customFormat="false" ht="15" hidden="false" customHeight="false" outlineLevel="0" collapsed="false">
      <c r="A208" s="5" t="s">
        <v>130</v>
      </c>
      <c r="B208" s="5" t="s">
        <v>41</v>
      </c>
      <c r="C208" s="5" t="s">
        <v>50</v>
      </c>
      <c r="D208" s="5" t="s">
        <v>43</v>
      </c>
      <c r="E208" s="5" t="s">
        <v>112</v>
      </c>
      <c r="F208" s="5" t="s">
        <v>63</v>
      </c>
      <c r="G208" s="5" t="n">
        <v>75217</v>
      </c>
      <c r="H208" s="5" t="s">
        <v>64</v>
      </c>
      <c r="I208" s="5" t="s">
        <v>47</v>
      </c>
      <c r="J208" s="5" t="s">
        <v>86</v>
      </c>
      <c r="K208" s="6" t="n">
        <v>25.91</v>
      </c>
      <c r="L208" s="5" t="n">
        <v>6</v>
      </c>
      <c r="M208" s="7" t="n">
        <v>0.7</v>
      </c>
      <c r="N208" s="6" t="n">
        <v>-2.62</v>
      </c>
    </row>
    <row r="209" customFormat="false" ht="15" hidden="false" customHeight="false" outlineLevel="0" collapsed="false">
      <c r="A209" s="5" t="s">
        <v>248</v>
      </c>
      <c r="B209" s="5" t="s">
        <v>41</v>
      </c>
      <c r="C209" s="5" t="s">
        <v>69</v>
      </c>
      <c r="D209" s="5" t="s">
        <v>43</v>
      </c>
      <c r="E209" s="5" t="s">
        <v>114</v>
      </c>
      <c r="F209" s="5" t="s">
        <v>115</v>
      </c>
      <c r="G209" s="5" t="n">
        <v>90036</v>
      </c>
      <c r="H209" s="5" t="s">
        <v>72</v>
      </c>
      <c r="I209" s="5" t="s">
        <v>54</v>
      </c>
      <c r="J209" s="5" t="s">
        <v>93</v>
      </c>
      <c r="K209" s="6" t="n">
        <v>165.2</v>
      </c>
      <c r="L209" s="5" t="n">
        <v>1</v>
      </c>
      <c r="M209" s="7" t="n">
        <v>0</v>
      </c>
      <c r="N209" s="6" t="n">
        <v>71.35</v>
      </c>
    </row>
    <row r="210" customFormat="false" ht="15" hidden="false" customHeight="false" outlineLevel="0" collapsed="false">
      <c r="A210" s="5" t="s">
        <v>56</v>
      </c>
      <c r="B210" s="5" t="s">
        <v>57</v>
      </c>
      <c r="C210" s="5" t="s">
        <v>50</v>
      </c>
      <c r="D210" s="5" t="s">
        <v>43</v>
      </c>
      <c r="E210" s="5" t="s">
        <v>58</v>
      </c>
      <c r="F210" s="5" t="s">
        <v>59</v>
      </c>
      <c r="G210" s="5" t="n">
        <v>30318</v>
      </c>
      <c r="H210" s="5" t="s">
        <v>53</v>
      </c>
      <c r="I210" s="5" t="s">
        <v>47</v>
      </c>
      <c r="J210" s="5" t="s">
        <v>60</v>
      </c>
      <c r="K210" s="6" t="n">
        <v>29.74</v>
      </c>
      <c r="L210" s="5" t="n">
        <v>9</v>
      </c>
      <c r="M210" s="7" t="n">
        <v>0.15</v>
      </c>
      <c r="N210" s="6" t="n">
        <v>1.21</v>
      </c>
    </row>
    <row r="211" customFormat="false" ht="15" hidden="false" customHeight="false" outlineLevel="0" collapsed="false">
      <c r="A211" s="5" t="s">
        <v>193</v>
      </c>
      <c r="B211" s="5" t="s">
        <v>83</v>
      </c>
      <c r="C211" s="5" t="s">
        <v>69</v>
      </c>
      <c r="D211" s="5" t="s">
        <v>43</v>
      </c>
      <c r="E211" s="5" t="s">
        <v>112</v>
      </c>
      <c r="F211" s="5" t="s">
        <v>63</v>
      </c>
      <c r="G211" s="5" t="n">
        <v>75217</v>
      </c>
      <c r="H211" s="5" t="s">
        <v>64</v>
      </c>
      <c r="I211" s="5" t="s">
        <v>65</v>
      </c>
      <c r="J211" s="5" t="s">
        <v>133</v>
      </c>
      <c r="K211" s="6" t="n">
        <v>42.07</v>
      </c>
      <c r="L211" s="5" t="n">
        <v>5</v>
      </c>
      <c r="M211" s="7" t="n">
        <v>0.2</v>
      </c>
      <c r="N211" s="6" t="n">
        <v>15.52</v>
      </c>
    </row>
    <row r="212" customFormat="false" ht="15" hidden="false" customHeight="false" outlineLevel="0" collapsed="false">
      <c r="A212" s="5" t="s">
        <v>212</v>
      </c>
      <c r="B212" s="5" t="s">
        <v>68</v>
      </c>
      <c r="C212" s="5" t="s">
        <v>50</v>
      </c>
      <c r="D212" s="5" t="s">
        <v>43</v>
      </c>
      <c r="E212" s="5" t="s">
        <v>100</v>
      </c>
      <c r="F212" s="5" t="s">
        <v>101</v>
      </c>
      <c r="G212" s="5" t="n">
        <v>19140</v>
      </c>
      <c r="H212" s="5" t="s">
        <v>46</v>
      </c>
      <c r="I212" s="5" t="s">
        <v>47</v>
      </c>
      <c r="J212" s="5" t="s">
        <v>60</v>
      </c>
      <c r="K212" s="6" t="n">
        <v>43.49</v>
      </c>
      <c r="L212" s="5" t="n">
        <v>7</v>
      </c>
      <c r="M212" s="7" t="n">
        <v>0.1</v>
      </c>
      <c r="N212" s="6" t="n">
        <v>3.9</v>
      </c>
    </row>
    <row r="213" customFormat="false" ht="15" hidden="false" customHeight="false" outlineLevel="0" collapsed="false">
      <c r="A213" s="5" t="s">
        <v>314</v>
      </c>
      <c r="B213" s="5" t="s">
        <v>83</v>
      </c>
      <c r="C213" s="5" t="s">
        <v>50</v>
      </c>
      <c r="D213" s="5" t="s">
        <v>43</v>
      </c>
      <c r="E213" s="5" t="s">
        <v>62</v>
      </c>
      <c r="F213" s="5" t="s">
        <v>63</v>
      </c>
      <c r="G213" s="5" t="n">
        <v>77095</v>
      </c>
      <c r="H213" s="5" t="s">
        <v>64</v>
      </c>
      <c r="I213" s="5" t="s">
        <v>54</v>
      </c>
      <c r="J213" s="5" t="s">
        <v>55</v>
      </c>
      <c r="K213" s="6" t="n">
        <v>35.43</v>
      </c>
      <c r="L213" s="5" t="n">
        <v>4</v>
      </c>
      <c r="M213" s="7" t="n">
        <v>0</v>
      </c>
      <c r="N213" s="6" t="n">
        <v>14.1</v>
      </c>
    </row>
    <row r="214" customFormat="false" ht="15" hidden="false" customHeight="false" outlineLevel="0" collapsed="false">
      <c r="A214" s="5" t="s">
        <v>61</v>
      </c>
      <c r="B214" s="5" t="s">
        <v>41</v>
      </c>
      <c r="C214" s="5" t="s">
        <v>42</v>
      </c>
      <c r="D214" s="5" t="s">
        <v>43</v>
      </c>
      <c r="E214" s="5" t="s">
        <v>62</v>
      </c>
      <c r="F214" s="5" t="s">
        <v>63</v>
      </c>
      <c r="G214" s="5" t="n">
        <v>77095</v>
      </c>
      <c r="H214" s="5" t="s">
        <v>64</v>
      </c>
      <c r="I214" s="5" t="s">
        <v>65</v>
      </c>
      <c r="J214" s="5" t="s">
        <v>66</v>
      </c>
      <c r="K214" s="6" t="n">
        <v>137.48</v>
      </c>
      <c r="L214" s="5" t="n">
        <v>1</v>
      </c>
      <c r="M214" s="7" t="n">
        <v>0</v>
      </c>
      <c r="N214" s="6" t="n">
        <v>43.59</v>
      </c>
    </row>
    <row r="215" customFormat="false" ht="15" hidden="false" customHeight="false" outlineLevel="0" collapsed="false">
      <c r="A215" s="5" t="s">
        <v>275</v>
      </c>
      <c r="B215" s="5" t="s">
        <v>83</v>
      </c>
      <c r="C215" s="5" t="s">
        <v>69</v>
      </c>
      <c r="D215" s="5" t="s">
        <v>43</v>
      </c>
      <c r="E215" s="5" t="s">
        <v>118</v>
      </c>
      <c r="F215" s="5" t="s">
        <v>119</v>
      </c>
      <c r="G215" s="5" t="n">
        <v>98103</v>
      </c>
      <c r="H215" s="5" t="s">
        <v>72</v>
      </c>
      <c r="I215" s="5" t="s">
        <v>47</v>
      </c>
      <c r="J215" s="5" t="s">
        <v>84</v>
      </c>
      <c r="K215" s="6" t="n">
        <v>39.19</v>
      </c>
      <c r="L215" s="5" t="n">
        <v>2</v>
      </c>
      <c r="M215" s="7" t="n">
        <v>0.1</v>
      </c>
      <c r="N215" s="6" t="n">
        <v>-1.35</v>
      </c>
    </row>
    <row r="216" customFormat="false" ht="15" hidden="false" customHeight="false" outlineLevel="0" collapsed="false">
      <c r="A216" s="5" t="s">
        <v>240</v>
      </c>
      <c r="B216" s="5" t="s">
        <v>57</v>
      </c>
      <c r="C216" s="5" t="s">
        <v>42</v>
      </c>
      <c r="D216" s="5" t="s">
        <v>43</v>
      </c>
      <c r="E216" s="5" t="s">
        <v>70</v>
      </c>
      <c r="F216" s="5" t="s">
        <v>71</v>
      </c>
      <c r="G216" s="5" t="n">
        <v>80219</v>
      </c>
      <c r="H216" s="5" t="s">
        <v>72</v>
      </c>
      <c r="I216" s="5" t="s">
        <v>65</v>
      </c>
      <c r="J216" s="5" t="s">
        <v>88</v>
      </c>
      <c r="K216" s="6" t="n">
        <v>75.83</v>
      </c>
      <c r="L216" s="5" t="n">
        <v>1</v>
      </c>
      <c r="M216" s="7" t="n">
        <v>0</v>
      </c>
      <c r="N216" s="6" t="n">
        <v>19.15</v>
      </c>
    </row>
    <row r="217" customFormat="false" ht="15" hidden="false" customHeight="false" outlineLevel="0" collapsed="false">
      <c r="A217" s="5" t="s">
        <v>82</v>
      </c>
      <c r="B217" s="5" t="s">
        <v>83</v>
      </c>
      <c r="C217" s="5" t="s">
        <v>69</v>
      </c>
      <c r="D217" s="5" t="s">
        <v>43</v>
      </c>
      <c r="E217" s="5" t="s">
        <v>70</v>
      </c>
      <c r="F217" s="5" t="s">
        <v>71</v>
      </c>
      <c r="G217" s="5" t="n">
        <v>80219</v>
      </c>
      <c r="H217" s="5" t="s">
        <v>72</v>
      </c>
      <c r="I217" s="5" t="s">
        <v>47</v>
      </c>
      <c r="J217" s="5" t="s">
        <v>84</v>
      </c>
      <c r="K217" s="6" t="n">
        <v>34.19</v>
      </c>
      <c r="L217" s="5" t="n">
        <v>5</v>
      </c>
      <c r="M217" s="7" t="n">
        <v>0.2</v>
      </c>
      <c r="N217" s="6" t="n">
        <v>-4.59</v>
      </c>
    </row>
    <row r="218" customFormat="false" ht="15" hidden="false" customHeight="false" outlineLevel="0" collapsed="false">
      <c r="A218" s="5" t="s">
        <v>373</v>
      </c>
      <c r="B218" s="5" t="s">
        <v>68</v>
      </c>
      <c r="C218" s="5" t="s">
        <v>42</v>
      </c>
      <c r="D218" s="5" t="s">
        <v>43</v>
      </c>
      <c r="E218" s="5" t="s">
        <v>176</v>
      </c>
      <c r="F218" s="5" t="s">
        <v>177</v>
      </c>
      <c r="G218" s="5" t="n">
        <v>55407</v>
      </c>
      <c r="H218" s="5" t="s">
        <v>64</v>
      </c>
      <c r="I218" s="5" t="s">
        <v>54</v>
      </c>
      <c r="J218" s="5" t="s">
        <v>73</v>
      </c>
      <c r="K218" s="6" t="n">
        <v>91.38</v>
      </c>
      <c r="L218" s="5" t="n">
        <v>8</v>
      </c>
      <c r="M218" s="7" t="n">
        <v>0.7</v>
      </c>
      <c r="N218" s="6" t="n">
        <v>-7.67</v>
      </c>
    </row>
    <row r="219" customFormat="false" ht="15" hidden="false" customHeight="false" outlineLevel="0" collapsed="false">
      <c r="A219" s="5" t="s">
        <v>180</v>
      </c>
      <c r="B219" s="5" t="s">
        <v>83</v>
      </c>
      <c r="C219" s="5" t="s">
        <v>42</v>
      </c>
      <c r="D219" s="5" t="s">
        <v>43</v>
      </c>
      <c r="E219" s="5" t="s">
        <v>112</v>
      </c>
      <c r="F219" s="5" t="s">
        <v>63</v>
      </c>
      <c r="G219" s="5" t="n">
        <v>75217</v>
      </c>
      <c r="H219" s="5" t="s">
        <v>64</v>
      </c>
      <c r="I219" s="5" t="s">
        <v>54</v>
      </c>
      <c r="J219" s="5" t="s">
        <v>93</v>
      </c>
      <c r="K219" s="6" t="n">
        <v>260.81</v>
      </c>
      <c r="L219" s="5" t="n">
        <v>6</v>
      </c>
      <c r="M219" s="7" t="n">
        <v>0.2</v>
      </c>
      <c r="N219" s="6" t="n">
        <v>102.52</v>
      </c>
    </row>
    <row r="220" customFormat="false" ht="15" hidden="false" customHeight="false" outlineLevel="0" collapsed="false">
      <c r="A220" s="5" t="s">
        <v>141</v>
      </c>
      <c r="B220" s="5" t="s">
        <v>41</v>
      </c>
      <c r="C220" s="5" t="s">
        <v>42</v>
      </c>
      <c r="D220" s="5" t="s">
        <v>43</v>
      </c>
      <c r="E220" s="5" t="s">
        <v>62</v>
      </c>
      <c r="F220" s="5" t="s">
        <v>63</v>
      </c>
      <c r="G220" s="5" t="n">
        <v>77095</v>
      </c>
      <c r="H220" s="5" t="s">
        <v>64</v>
      </c>
      <c r="I220" s="5" t="s">
        <v>47</v>
      </c>
      <c r="J220" s="5" t="s">
        <v>84</v>
      </c>
      <c r="K220" s="6" t="n">
        <v>411.26</v>
      </c>
      <c r="L220" s="5" t="n">
        <v>1</v>
      </c>
      <c r="M220" s="7" t="n">
        <v>0.1</v>
      </c>
      <c r="N220" s="6" t="n">
        <v>-34.11</v>
      </c>
    </row>
    <row r="221" customFormat="false" ht="15" hidden="false" customHeight="false" outlineLevel="0" collapsed="false">
      <c r="A221" s="5" t="s">
        <v>116</v>
      </c>
      <c r="B221" s="5" t="s">
        <v>57</v>
      </c>
      <c r="C221" s="5" t="s">
        <v>50</v>
      </c>
      <c r="D221" s="5" t="s">
        <v>43</v>
      </c>
      <c r="E221" s="5" t="s">
        <v>107</v>
      </c>
      <c r="F221" s="5" t="s">
        <v>108</v>
      </c>
      <c r="G221" s="5" t="n">
        <v>7102</v>
      </c>
      <c r="H221" s="5" t="s">
        <v>46</v>
      </c>
      <c r="I221" s="5" t="s">
        <v>47</v>
      </c>
      <c r="J221" s="5" t="s">
        <v>86</v>
      </c>
      <c r="K221" s="6" t="n">
        <v>30.11</v>
      </c>
      <c r="L221" s="5" t="n">
        <v>9</v>
      </c>
      <c r="M221" s="7" t="n">
        <v>0.2</v>
      </c>
      <c r="N221" s="6" t="n">
        <v>-2.32</v>
      </c>
    </row>
    <row r="222" customFormat="false" ht="15" hidden="false" customHeight="false" outlineLevel="0" collapsed="false">
      <c r="A222" s="5" t="s">
        <v>103</v>
      </c>
      <c r="B222" s="5" t="s">
        <v>83</v>
      </c>
      <c r="C222" s="5" t="s">
        <v>50</v>
      </c>
      <c r="D222" s="5" t="s">
        <v>43</v>
      </c>
      <c r="E222" s="5" t="s">
        <v>104</v>
      </c>
      <c r="F222" s="5" t="s">
        <v>105</v>
      </c>
      <c r="G222" s="5" t="n">
        <v>28205</v>
      </c>
      <c r="H222" s="5" t="s">
        <v>53</v>
      </c>
      <c r="I222" s="5" t="s">
        <v>47</v>
      </c>
      <c r="J222" s="5" t="s">
        <v>86</v>
      </c>
      <c r="K222" s="6" t="n">
        <v>31.19</v>
      </c>
      <c r="L222" s="5" t="n">
        <v>3</v>
      </c>
      <c r="M222" s="7" t="n">
        <v>0.3</v>
      </c>
      <c r="N222" s="6" t="n">
        <v>-6.46</v>
      </c>
    </row>
    <row r="223" customFormat="false" ht="15" hidden="false" customHeight="false" outlineLevel="0" collapsed="false">
      <c r="A223" s="5" t="s">
        <v>239</v>
      </c>
      <c r="B223" s="5" t="s">
        <v>83</v>
      </c>
      <c r="C223" s="5" t="s">
        <v>69</v>
      </c>
      <c r="D223" s="5" t="s">
        <v>43</v>
      </c>
      <c r="E223" s="5" t="s">
        <v>118</v>
      </c>
      <c r="F223" s="5" t="s">
        <v>119</v>
      </c>
      <c r="G223" s="5" t="n">
        <v>98103</v>
      </c>
      <c r="H223" s="5" t="s">
        <v>72</v>
      </c>
      <c r="I223" s="5" t="s">
        <v>65</v>
      </c>
      <c r="J223" s="5" t="s">
        <v>133</v>
      </c>
      <c r="K223" s="6" t="n">
        <v>27.92</v>
      </c>
      <c r="L223" s="5" t="n">
        <v>5</v>
      </c>
      <c r="M223" s="7" t="n">
        <v>0.4</v>
      </c>
      <c r="N223" s="6" t="n">
        <v>4.06</v>
      </c>
    </row>
    <row r="224" customFormat="false" ht="15" hidden="false" customHeight="false" outlineLevel="0" collapsed="false">
      <c r="A224" s="5" t="s">
        <v>402</v>
      </c>
      <c r="B224" s="5" t="s">
        <v>41</v>
      </c>
      <c r="C224" s="5" t="s">
        <v>42</v>
      </c>
      <c r="D224" s="5" t="s">
        <v>43</v>
      </c>
      <c r="E224" s="5" t="s">
        <v>75</v>
      </c>
      <c r="F224" s="5" t="s">
        <v>76</v>
      </c>
      <c r="G224" s="5" t="n">
        <v>60610</v>
      </c>
      <c r="H224" s="5" t="s">
        <v>64</v>
      </c>
      <c r="I224" s="5" t="s">
        <v>65</v>
      </c>
      <c r="J224" s="5" t="s">
        <v>66</v>
      </c>
      <c r="K224" s="6" t="n">
        <v>66.97</v>
      </c>
      <c r="L224" s="5" t="n">
        <v>9</v>
      </c>
      <c r="M224" s="7" t="n">
        <v>0.2</v>
      </c>
      <c r="N224" s="6" t="n">
        <v>16.42</v>
      </c>
    </row>
    <row r="225" customFormat="false" ht="15" hidden="false" customHeight="false" outlineLevel="0" collapsed="false">
      <c r="A225" s="5" t="s">
        <v>369</v>
      </c>
      <c r="B225" s="5" t="s">
        <v>83</v>
      </c>
      <c r="C225" s="5" t="s">
        <v>50</v>
      </c>
      <c r="D225" s="5" t="s">
        <v>43</v>
      </c>
      <c r="E225" s="5" t="s">
        <v>95</v>
      </c>
      <c r="F225" s="5" t="s">
        <v>96</v>
      </c>
      <c r="G225" s="5" t="n">
        <v>97206</v>
      </c>
      <c r="H225" s="5" t="s">
        <v>72</v>
      </c>
      <c r="I225" s="5" t="s">
        <v>47</v>
      </c>
      <c r="J225" s="5" t="s">
        <v>60</v>
      </c>
      <c r="K225" s="6" t="n">
        <v>638.97</v>
      </c>
      <c r="L225" s="5" t="n">
        <v>9</v>
      </c>
      <c r="M225" s="7" t="n">
        <v>0.2</v>
      </c>
      <c r="N225" s="6" t="n">
        <v>43.75</v>
      </c>
    </row>
    <row r="226" customFormat="false" ht="15" hidden="false" customHeight="false" outlineLevel="0" collapsed="false">
      <c r="A226" s="5" t="s">
        <v>340</v>
      </c>
      <c r="B226" s="5" t="s">
        <v>57</v>
      </c>
      <c r="C226" s="5" t="s">
        <v>50</v>
      </c>
      <c r="D226" s="5" t="s">
        <v>43</v>
      </c>
      <c r="E226" s="5" t="s">
        <v>62</v>
      </c>
      <c r="F226" s="5" t="s">
        <v>63</v>
      </c>
      <c r="G226" s="5" t="n">
        <v>77095</v>
      </c>
      <c r="H226" s="5" t="s">
        <v>64</v>
      </c>
      <c r="I226" s="5" t="s">
        <v>47</v>
      </c>
      <c r="J226" s="5" t="s">
        <v>84</v>
      </c>
      <c r="K226" s="6" t="n">
        <v>195.75</v>
      </c>
      <c r="L226" s="5" t="n">
        <v>4</v>
      </c>
      <c r="M226" s="7" t="n">
        <v>0</v>
      </c>
      <c r="N226" s="6" t="n">
        <v>-8.72</v>
      </c>
    </row>
    <row r="227" customFormat="false" ht="15" hidden="false" customHeight="false" outlineLevel="0" collapsed="false">
      <c r="A227" s="5" t="s">
        <v>242</v>
      </c>
      <c r="B227" s="5" t="s">
        <v>57</v>
      </c>
      <c r="C227" s="5" t="s">
        <v>50</v>
      </c>
      <c r="D227" s="5" t="s">
        <v>43</v>
      </c>
      <c r="E227" s="5" t="s">
        <v>118</v>
      </c>
      <c r="F227" s="5" t="s">
        <v>119</v>
      </c>
      <c r="G227" s="5" t="n">
        <v>98103</v>
      </c>
      <c r="H227" s="5" t="s">
        <v>72</v>
      </c>
      <c r="I227" s="5" t="s">
        <v>54</v>
      </c>
      <c r="J227" s="5" t="s">
        <v>77</v>
      </c>
      <c r="K227" s="6" t="n">
        <v>237.17</v>
      </c>
      <c r="L227" s="5" t="n">
        <v>6</v>
      </c>
      <c r="M227" s="7" t="n">
        <v>0</v>
      </c>
      <c r="N227" s="6" t="n">
        <v>108.37</v>
      </c>
    </row>
    <row r="228" customFormat="false" ht="15" hidden="false" customHeight="false" outlineLevel="0" collapsed="false">
      <c r="A228" s="5" t="s">
        <v>384</v>
      </c>
      <c r="B228" s="5" t="s">
        <v>83</v>
      </c>
      <c r="C228" s="5" t="s">
        <v>50</v>
      </c>
      <c r="D228" s="5" t="s">
        <v>43</v>
      </c>
      <c r="E228" s="5" t="s">
        <v>62</v>
      </c>
      <c r="F228" s="5" t="s">
        <v>63</v>
      </c>
      <c r="G228" s="5" t="n">
        <v>77095</v>
      </c>
      <c r="H228" s="5" t="s">
        <v>64</v>
      </c>
      <c r="I228" s="5" t="s">
        <v>54</v>
      </c>
      <c r="J228" s="5" t="s">
        <v>55</v>
      </c>
      <c r="K228" s="6" t="n">
        <v>88.44</v>
      </c>
      <c r="L228" s="5" t="n">
        <v>8</v>
      </c>
      <c r="M228" s="7" t="n">
        <v>0</v>
      </c>
      <c r="N228" s="6" t="n">
        <v>29.48</v>
      </c>
    </row>
    <row r="229" customFormat="false" ht="15" hidden="false" customHeight="false" outlineLevel="0" collapsed="false">
      <c r="A229" s="5" t="s">
        <v>288</v>
      </c>
      <c r="B229" s="5" t="s">
        <v>57</v>
      </c>
      <c r="C229" s="5" t="s">
        <v>50</v>
      </c>
      <c r="D229" s="5" t="s">
        <v>43</v>
      </c>
      <c r="E229" s="5" t="s">
        <v>58</v>
      </c>
      <c r="F229" s="5" t="s">
        <v>59</v>
      </c>
      <c r="G229" s="5" t="n">
        <v>30318</v>
      </c>
      <c r="H229" s="5" t="s">
        <v>53</v>
      </c>
      <c r="I229" s="5" t="s">
        <v>65</v>
      </c>
      <c r="J229" s="5" t="s">
        <v>66</v>
      </c>
      <c r="K229" s="6" t="n">
        <v>95.88</v>
      </c>
      <c r="L229" s="5" t="n">
        <v>2</v>
      </c>
      <c r="M229" s="7" t="n">
        <v>0.5</v>
      </c>
      <c r="N229" s="6" t="n">
        <v>-0.53</v>
      </c>
    </row>
    <row r="230" customFormat="false" ht="15" hidden="false" customHeight="false" outlineLevel="0" collapsed="false">
      <c r="A230" s="5" t="s">
        <v>199</v>
      </c>
      <c r="B230" s="5" t="s">
        <v>57</v>
      </c>
      <c r="C230" s="5" t="s">
        <v>69</v>
      </c>
      <c r="D230" s="5" t="s">
        <v>43</v>
      </c>
      <c r="E230" s="5" t="s">
        <v>62</v>
      </c>
      <c r="F230" s="5" t="s">
        <v>63</v>
      </c>
      <c r="G230" s="5" t="n">
        <v>77095</v>
      </c>
      <c r="H230" s="5" t="s">
        <v>64</v>
      </c>
      <c r="I230" s="5" t="s">
        <v>54</v>
      </c>
      <c r="J230" s="5" t="s">
        <v>93</v>
      </c>
      <c r="K230" s="6" t="n">
        <v>164.95</v>
      </c>
      <c r="L230" s="5" t="n">
        <v>6</v>
      </c>
      <c r="M230" s="7" t="n">
        <v>0.3</v>
      </c>
      <c r="N230" s="6" t="n">
        <v>53.75</v>
      </c>
    </row>
    <row r="231" customFormat="false" ht="15" hidden="false" customHeight="false" outlineLevel="0" collapsed="false">
      <c r="A231" s="5" t="s">
        <v>168</v>
      </c>
      <c r="B231" s="5" t="s">
        <v>57</v>
      </c>
      <c r="C231" s="5" t="s">
        <v>50</v>
      </c>
      <c r="D231" s="5" t="s">
        <v>43</v>
      </c>
      <c r="E231" s="5" t="s">
        <v>100</v>
      </c>
      <c r="F231" s="5" t="s">
        <v>101</v>
      </c>
      <c r="G231" s="5" t="n">
        <v>19140</v>
      </c>
      <c r="H231" s="5" t="s">
        <v>46</v>
      </c>
      <c r="I231" s="5" t="s">
        <v>54</v>
      </c>
      <c r="J231" s="5" t="s">
        <v>55</v>
      </c>
      <c r="K231" s="6" t="n">
        <v>46.72</v>
      </c>
      <c r="L231" s="5" t="n">
        <v>6</v>
      </c>
      <c r="M231" s="7" t="n">
        <v>0.2</v>
      </c>
      <c r="N231" s="6" t="n">
        <v>13.99</v>
      </c>
    </row>
    <row r="232" customFormat="false" ht="15" hidden="false" customHeight="false" outlineLevel="0" collapsed="false">
      <c r="A232" s="5" t="s">
        <v>181</v>
      </c>
      <c r="B232" s="5" t="s">
        <v>41</v>
      </c>
      <c r="C232" s="5" t="s">
        <v>42</v>
      </c>
      <c r="D232" s="5" t="s">
        <v>43</v>
      </c>
      <c r="E232" s="5" t="s">
        <v>95</v>
      </c>
      <c r="F232" s="5" t="s">
        <v>96</v>
      </c>
      <c r="G232" s="5" t="n">
        <v>97206</v>
      </c>
      <c r="H232" s="5" t="s">
        <v>72</v>
      </c>
      <c r="I232" s="5" t="s">
        <v>54</v>
      </c>
      <c r="J232" s="5" t="s">
        <v>55</v>
      </c>
      <c r="K232" s="6" t="n">
        <v>297.59</v>
      </c>
      <c r="L232" s="5" t="n">
        <v>1</v>
      </c>
      <c r="M232" s="7" t="n">
        <v>0</v>
      </c>
      <c r="N232" s="6" t="n">
        <v>108.06</v>
      </c>
    </row>
    <row r="233" customFormat="false" ht="15" hidden="false" customHeight="false" outlineLevel="0" collapsed="false">
      <c r="A233" s="5" t="s">
        <v>171</v>
      </c>
      <c r="B233" s="5" t="s">
        <v>41</v>
      </c>
      <c r="C233" s="5" t="s">
        <v>69</v>
      </c>
      <c r="D233" s="5" t="s">
        <v>43</v>
      </c>
      <c r="E233" s="5" t="s">
        <v>75</v>
      </c>
      <c r="F233" s="5" t="s">
        <v>76</v>
      </c>
      <c r="G233" s="5" t="n">
        <v>60610</v>
      </c>
      <c r="H233" s="5" t="s">
        <v>64</v>
      </c>
      <c r="I233" s="5" t="s">
        <v>65</v>
      </c>
      <c r="J233" s="5" t="s">
        <v>120</v>
      </c>
      <c r="K233" s="6" t="n">
        <v>41.31</v>
      </c>
      <c r="L233" s="5" t="n">
        <v>2</v>
      </c>
      <c r="M233" s="7" t="n">
        <v>0</v>
      </c>
      <c r="N233" s="6" t="n">
        <v>10.24</v>
      </c>
    </row>
    <row r="234" customFormat="false" ht="15" hidden="false" customHeight="false" outlineLevel="0" collapsed="false">
      <c r="A234" s="5" t="s">
        <v>396</v>
      </c>
      <c r="B234" s="5" t="s">
        <v>83</v>
      </c>
      <c r="C234" s="5" t="s">
        <v>50</v>
      </c>
      <c r="D234" s="5" t="s">
        <v>43</v>
      </c>
      <c r="E234" s="5" t="s">
        <v>51</v>
      </c>
      <c r="F234" s="5" t="s">
        <v>52</v>
      </c>
      <c r="G234" s="5" t="n">
        <v>37211</v>
      </c>
      <c r="H234" s="5" t="s">
        <v>53</v>
      </c>
      <c r="I234" s="5" t="s">
        <v>54</v>
      </c>
      <c r="J234" s="5" t="s">
        <v>73</v>
      </c>
      <c r="K234" s="6" t="n">
        <v>30.2</v>
      </c>
      <c r="L234" s="5" t="n">
        <v>9</v>
      </c>
      <c r="M234" s="7" t="n">
        <v>0</v>
      </c>
      <c r="N234" s="6" t="n">
        <v>9.59</v>
      </c>
    </row>
    <row r="235" customFormat="false" ht="15" hidden="false" customHeight="false" outlineLevel="0" collapsed="false">
      <c r="A235" s="5" t="s">
        <v>113</v>
      </c>
      <c r="B235" s="5" t="s">
        <v>83</v>
      </c>
      <c r="C235" s="5" t="s">
        <v>50</v>
      </c>
      <c r="D235" s="5" t="s">
        <v>43</v>
      </c>
      <c r="E235" s="5" t="s">
        <v>114</v>
      </c>
      <c r="F235" s="5" t="s">
        <v>115</v>
      </c>
      <c r="G235" s="5" t="n">
        <v>90036</v>
      </c>
      <c r="H235" s="5" t="s">
        <v>72</v>
      </c>
      <c r="I235" s="5" t="s">
        <v>65</v>
      </c>
      <c r="J235" s="5" t="s">
        <v>81</v>
      </c>
      <c r="K235" s="6" t="n">
        <v>68.88</v>
      </c>
      <c r="L235" s="5" t="n">
        <v>2</v>
      </c>
      <c r="M235" s="7" t="n">
        <v>0.2</v>
      </c>
      <c r="N235" s="6" t="n">
        <v>17.14</v>
      </c>
    </row>
    <row r="236" customFormat="false" ht="15" hidden="false" customHeight="false" outlineLevel="0" collapsed="false">
      <c r="A236" s="5" t="s">
        <v>158</v>
      </c>
      <c r="B236" s="5" t="s">
        <v>41</v>
      </c>
      <c r="C236" s="5" t="s">
        <v>50</v>
      </c>
      <c r="D236" s="5" t="s">
        <v>43</v>
      </c>
      <c r="E236" s="5" t="s">
        <v>112</v>
      </c>
      <c r="F236" s="5" t="s">
        <v>63</v>
      </c>
      <c r="G236" s="5" t="n">
        <v>75217</v>
      </c>
      <c r="H236" s="5" t="s">
        <v>64</v>
      </c>
      <c r="I236" s="5" t="s">
        <v>65</v>
      </c>
      <c r="J236" s="5" t="s">
        <v>109</v>
      </c>
      <c r="K236" s="6" t="n">
        <v>126.68</v>
      </c>
      <c r="L236" s="5" t="n">
        <v>6</v>
      </c>
      <c r="M236" s="7" t="n">
        <v>0</v>
      </c>
      <c r="N236" s="6" t="n">
        <v>33.24</v>
      </c>
    </row>
    <row r="237" customFormat="false" ht="15" hidden="false" customHeight="false" outlineLevel="0" collapsed="false">
      <c r="A237" s="5" t="s">
        <v>325</v>
      </c>
      <c r="B237" s="5" t="s">
        <v>57</v>
      </c>
      <c r="C237" s="5" t="s">
        <v>69</v>
      </c>
      <c r="D237" s="5" t="s">
        <v>43</v>
      </c>
      <c r="E237" s="5" t="s">
        <v>100</v>
      </c>
      <c r="F237" s="5" t="s">
        <v>101</v>
      </c>
      <c r="G237" s="5" t="n">
        <v>19140</v>
      </c>
      <c r="H237" s="5" t="s">
        <v>46</v>
      </c>
      <c r="I237" s="5" t="s">
        <v>47</v>
      </c>
      <c r="J237" s="5" t="s">
        <v>48</v>
      </c>
      <c r="K237" s="6" t="n">
        <v>436.83</v>
      </c>
      <c r="L237" s="5" t="n">
        <v>6</v>
      </c>
      <c r="M237" s="7" t="n">
        <v>0.2</v>
      </c>
      <c r="N237" s="6" t="n">
        <v>-6.09</v>
      </c>
    </row>
    <row r="238" customFormat="false" ht="15" hidden="false" customHeight="false" outlineLevel="0" collapsed="false">
      <c r="A238" s="5" t="s">
        <v>247</v>
      </c>
      <c r="B238" s="5" t="s">
        <v>57</v>
      </c>
      <c r="C238" s="5" t="s">
        <v>42</v>
      </c>
      <c r="D238" s="5" t="s">
        <v>43</v>
      </c>
      <c r="E238" s="5" t="s">
        <v>100</v>
      </c>
      <c r="F238" s="5" t="s">
        <v>101</v>
      </c>
      <c r="G238" s="5" t="n">
        <v>19140</v>
      </c>
      <c r="H238" s="5" t="s">
        <v>46</v>
      </c>
      <c r="I238" s="5" t="s">
        <v>65</v>
      </c>
      <c r="J238" s="5" t="s">
        <v>124</v>
      </c>
      <c r="K238" s="6" t="n">
        <v>129.47</v>
      </c>
      <c r="L238" s="5" t="n">
        <v>4</v>
      </c>
      <c r="M238" s="7" t="n">
        <v>0</v>
      </c>
      <c r="N238" s="6" t="n">
        <v>35.05</v>
      </c>
    </row>
    <row r="239" customFormat="false" ht="15" hidden="false" customHeight="false" outlineLevel="0" collapsed="false">
      <c r="A239" s="5" t="s">
        <v>187</v>
      </c>
      <c r="B239" s="5" t="s">
        <v>41</v>
      </c>
      <c r="C239" s="5" t="s">
        <v>69</v>
      </c>
      <c r="D239" s="5" t="s">
        <v>43</v>
      </c>
      <c r="E239" s="5" t="s">
        <v>104</v>
      </c>
      <c r="F239" s="5" t="s">
        <v>105</v>
      </c>
      <c r="G239" s="5" t="n">
        <v>28205</v>
      </c>
      <c r="H239" s="5" t="s">
        <v>53</v>
      </c>
      <c r="I239" s="5" t="s">
        <v>65</v>
      </c>
      <c r="J239" s="5" t="s">
        <v>109</v>
      </c>
      <c r="K239" s="6" t="n">
        <v>86.06</v>
      </c>
      <c r="L239" s="5" t="n">
        <v>8</v>
      </c>
      <c r="M239" s="7" t="n">
        <v>0.2</v>
      </c>
      <c r="N239" s="6" t="n">
        <v>11.93</v>
      </c>
    </row>
    <row r="240" customFormat="false" ht="15" hidden="false" customHeight="false" outlineLevel="0" collapsed="false">
      <c r="A240" s="5" t="s">
        <v>277</v>
      </c>
      <c r="B240" s="5" t="s">
        <v>83</v>
      </c>
      <c r="C240" s="5" t="s">
        <v>42</v>
      </c>
      <c r="D240" s="5" t="s">
        <v>43</v>
      </c>
      <c r="E240" s="5" t="s">
        <v>79</v>
      </c>
      <c r="F240" s="5" t="s">
        <v>80</v>
      </c>
      <c r="G240" s="5" t="n">
        <v>2127</v>
      </c>
      <c r="H240" s="5" t="s">
        <v>46</v>
      </c>
      <c r="I240" s="5" t="s">
        <v>65</v>
      </c>
      <c r="J240" s="5" t="s">
        <v>133</v>
      </c>
      <c r="K240" s="6" t="n">
        <v>60.52</v>
      </c>
      <c r="L240" s="5" t="n">
        <v>1</v>
      </c>
      <c r="M240" s="7" t="n">
        <v>0.3</v>
      </c>
      <c r="N240" s="6" t="n">
        <v>14.76</v>
      </c>
    </row>
    <row r="241" customFormat="false" ht="15" hidden="false" customHeight="false" outlineLevel="0" collapsed="false">
      <c r="A241" s="5" t="s">
        <v>297</v>
      </c>
      <c r="B241" s="5" t="s">
        <v>57</v>
      </c>
      <c r="C241" s="5" t="s">
        <v>42</v>
      </c>
      <c r="D241" s="5" t="s">
        <v>43</v>
      </c>
      <c r="E241" s="5" t="s">
        <v>112</v>
      </c>
      <c r="F241" s="5" t="s">
        <v>63</v>
      </c>
      <c r="G241" s="5" t="n">
        <v>75217</v>
      </c>
      <c r="H241" s="5" t="s">
        <v>64</v>
      </c>
      <c r="I241" s="5" t="s">
        <v>47</v>
      </c>
      <c r="J241" s="5" t="s">
        <v>86</v>
      </c>
      <c r="K241" s="6" t="n">
        <v>64.8</v>
      </c>
      <c r="L241" s="5" t="n">
        <v>8</v>
      </c>
      <c r="M241" s="7" t="n">
        <v>0</v>
      </c>
      <c r="N241" s="6" t="n">
        <v>4.44</v>
      </c>
    </row>
    <row r="242" customFormat="false" ht="15" hidden="false" customHeight="false" outlineLevel="0" collapsed="false">
      <c r="A242" s="5" t="s">
        <v>259</v>
      </c>
      <c r="B242" s="5" t="s">
        <v>68</v>
      </c>
      <c r="C242" s="5" t="s">
        <v>69</v>
      </c>
      <c r="D242" s="5" t="s">
        <v>43</v>
      </c>
      <c r="E242" s="5" t="s">
        <v>75</v>
      </c>
      <c r="F242" s="5" t="s">
        <v>76</v>
      </c>
      <c r="G242" s="5" t="n">
        <v>60610</v>
      </c>
      <c r="H242" s="5" t="s">
        <v>64</v>
      </c>
      <c r="I242" s="5" t="s">
        <v>54</v>
      </c>
      <c r="J242" s="5" t="s">
        <v>73</v>
      </c>
      <c r="K242" s="6" t="n">
        <v>42.1</v>
      </c>
      <c r="L242" s="5" t="n">
        <v>1</v>
      </c>
      <c r="M242" s="7" t="n">
        <v>0.1</v>
      </c>
      <c r="N242" s="6" t="n">
        <v>11.81</v>
      </c>
    </row>
    <row r="243" customFormat="false" ht="15" hidden="false" customHeight="false" outlineLevel="0" collapsed="false">
      <c r="A243" s="5" t="s">
        <v>211</v>
      </c>
      <c r="B243" s="5" t="s">
        <v>83</v>
      </c>
      <c r="C243" s="5" t="s">
        <v>50</v>
      </c>
      <c r="D243" s="5" t="s">
        <v>43</v>
      </c>
      <c r="E243" s="5" t="s">
        <v>51</v>
      </c>
      <c r="F243" s="5" t="s">
        <v>52</v>
      </c>
      <c r="G243" s="5" t="n">
        <v>37211</v>
      </c>
      <c r="H243" s="5" t="s">
        <v>53</v>
      </c>
      <c r="I243" s="5" t="s">
        <v>54</v>
      </c>
      <c r="J243" s="5" t="s">
        <v>73</v>
      </c>
      <c r="K243" s="6" t="n">
        <v>135.28</v>
      </c>
      <c r="L243" s="5" t="n">
        <v>8</v>
      </c>
      <c r="M243" s="7" t="n">
        <v>0.1</v>
      </c>
      <c r="N243" s="6" t="n">
        <v>45.93</v>
      </c>
    </row>
    <row r="244" customFormat="false" ht="15" hidden="false" customHeight="false" outlineLevel="0" collapsed="false">
      <c r="A244" s="5" t="s">
        <v>272</v>
      </c>
      <c r="B244" s="5" t="s">
        <v>57</v>
      </c>
      <c r="C244" s="5" t="s">
        <v>42</v>
      </c>
      <c r="D244" s="5" t="s">
        <v>43</v>
      </c>
      <c r="E244" s="5" t="s">
        <v>114</v>
      </c>
      <c r="F244" s="5" t="s">
        <v>115</v>
      </c>
      <c r="G244" s="5" t="n">
        <v>90036</v>
      </c>
      <c r="H244" s="5" t="s">
        <v>72</v>
      </c>
      <c r="I244" s="5" t="s">
        <v>47</v>
      </c>
      <c r="J244" s="5" t="s">
        <v>84</v>
      </c>
      <c r="K244" s="6" t="n">
        <v>164.81</v>
      </c>
      <c r="L244" s="5" t="n">
        <v>6</v>
      </c>
      <c r="M244" s="7" t="n">
        <v>0</v>
      </c>
      <c r="N244" s="6" t="n">
        <v>43.48</v>
      </c>
    </row>
    <row r="245" customFormat="false" ht="15" hidden="false" customHeight="false" outlineLevel="0" collapsed="false">
      <c r="A245" s="5" t="s">
        <v>169</v>
      </c>
      <c r="B245" s="5" t="s">
        <v>68</v>
      </c>
      <c r="C245" s="5" t="s">
        <v>42</v>
      </c>
      <c r="D245" s="5" t="s">
        <v>43</v>
      </c>
      <c r="E245" s="5" t="s">
        <v>44</v>
      </c>
      <c r="F245" s="5" t="s">
        <v>45</v>
      </c>
      <c r="G245" s="5" t="n">
        <v>10011</v>
      </c>
      <c r="H245" s="5" t="s">
        <v>46</v>
      </c>
      <c r="I245" s="5" t="s">
        <v>47</v>
      </c>
      <c r="J245" s="5" t="s">
        <v>60</v>
      </c>
      <c r="K245" s="6" t="n">
        <v>108.54</v>
      </c>
      <c r="L245" s="5" t="n">
        <v>1</v>
      </c>
      <c r="M245" s="7" t="n">
        <v>0.1</v>
      </c>
      <c r="N245" s="6" t="n">
        <v>1.66</v>
      </c>
    </row>
    <row r="246" customFormat="false" ht="15" hidden="false" customHeight="false" outlineLevel="0" collapsed="false">
      <c r="A246" s="5" t="s">
        <v>163</v>
      </c>
      <c r="B246" s="5" t="s">
        <v>57</v>
      </c>
      <c r="C246" s="5" t="s">
        <v>50</v>
      </c>
      <c r="D246" s="5" t="s">
        <v>43</v>
      </c>
      <c r="E246" s="5" t="s">
        <v>107</v>
      </c>
      <c r="F246" s="5" t="s">
        <v>108</v>
      </c>
      <c r="G246" s="5" t="n">
        <v>7102</v>
      </c>
      <c r="H246" s="5" t="s">
        <v>46</v>
      </c>
      <c r="I246" s="5" t="s">
        <v>54</v>
      </c>
      <c r="J246" s="5" t="s">
        <v>73</v>
      </c>
      <c r="K246" s="6" t="n">
        <v>26.24</v>
      </c>
      <c r="L246" s="5" t="n">
        <v>9</v>
      </c>
      <c r="M246" s="7" t="n">
        <v>0.4</v>
      </c>
      <c r="N246" s="6" t="n">
        <v>2.43</v>
      </c>
    </row>
    <row r="247" customFormat="false" ht="15" hidden="false" customHeight="false" outlineLevel="0" collapsed="false">
      <c r="A247" s="5" t="s">
        <v>379</v>
      </c>
      <c r="B247" s="5" t="s">
        <v>41</v>
      </c>
      <c r="C247" s="5" t="s">
        <v>50</v>
      </c>
      <c r="D247" s="5" t="s">
        <v>43</v>
      </c>
      <c r="E247" s="5" t="s">
        <v>104</v>
      </c>
      <c r="F247" s="5" t="s">
        <v>105</v>
      </c>
      <c r="G247" s="5" t="n">
        <v>28205</v>
      </c>
      <c r="H247" s="5" t="s">
        <v>53</v>
      </c>
      <c r="I247" s="5" t="s">
        <v>54</v>
      </c>
      <c r="J247" s="5" t="s">
        <v>55</v>
      </c>
      <c r="K247" s="6" t="n">
        <v>182.85</v>
      </c>
      <c r="L247" s="5" t="n">
        <v>9</v>
      </c>
      <c r="M247" s="7" t="n">
        <v>0.1</v>
      </c>
      <c r="N247" s="6" t="n">
        <v>46.65</v>
      </c>
    </row>
    <row r="248" customFormat="false" ht="15" hidden="false" customHeight="false" outlineLevel="0" collapsed="false">
      <c r="A248" s="5" t="s">
        <v>125</v>
      </c>
      <c r="B248" s="5" t="s">
        <v>57</v>
      </c>
      <c r="C248" s="5" t="s">
        <v>50</v>
      </c>
      <c r="D248" s="5" t="s">
        <v>43</v>
      </c>
      <c r="E248" s="5" t="s">
        <v>107</v>
      </c>
      <c r="F248" s="5" t="s">
        <v>108</v>
      </c>
      <c r="G248" s="5" t="n">
        <v>7102</v>
      </c>
      <c r="H248" s="5" t="s">
        <v>46</v>
      </c>
      <c r="I248" s="5" t="s">
        <v>54</v>
      </c>
      <c r="J248" s="5" t="s">
        <v>55</v>
      </c>
      <c r="K248" s="6" t="n">
        <v>85.6</v>
      </c>
      <c r="L248" s="5" t="n">
        <v>7</v>
      </c>
      <c r="M248" s="7" t="n">
        <v>0.2</v>
      </c>
      <c r="N248" s="6" t="n">
        <v>21.81</v>
      </c>
    </row>
    <row r="249" customFormat="false" ht="15" hidden="false" customHeight="false" outlineLevel="0" collapsed="false">
      <c r="A249" s="5" t="s">
        <v>274</v>
      </c>
      <c r="B249" s="5" t="s">
        <v>83</v>
      </c>
      <c r="C249" s="5" t="s">
        <v>69</v>
      </c>
      <c r="D249" s="5" t="s">
        <v>43</v>
      </c>
      <c r="E249" s="5" t="s">
        <v>114</v>
      </c>
      <c r="F249" s="5" t="s">
        <v>115</v>
      </c>
      <c r="G249" s="5" t="n">
        <v>90036</v>
      </c>
      <c r="H249" s="5" t="s">
        <v>72</v>
      </c>
      <c r="I249" s="5" t="s">
        <v>47</v>
      </c>
      <c r="J249" s="5" t="s">
        <v>86</v>
      </c>
      <c r="K249" s="6" t="n">
        <v>168.27</v>
      </c>
      <c r="L249" s="5" t="n">
        <v>6</v>
      </c>
      <c r="M249" s="7" t="n">
        <v>0.1</v>
      </c>
      <c r="N249" s="6" t="n">
        <v>2.98</v>
      </c>
    </row>
    <row r="250" customFormat="false" ht="15" hidden="false" customHeight="false" outlineLevel="0" collapsed="false">
      <c r="A250" s="5" t="s">
        <v>197</v>
      </c>
      <c r="B250" s="5" t="s">
        <v>41</v>
      </c>
      <c r="C250" s="5" t="s">
        <v>69</v>
      </c>
      <c r="D250" s="5" t="s">
        <v>43</v>
      </c>
      <c r="E250" s="5" t="s">
        <v>107</v>
      </c>
      <c r="F250" s="5" t="s">
        <v>108</v>
      </c>
      <c r="G250" s="5" t="n">
        <v>7102</v>
      </c>
      <c r="H250" s="5" t="s">
        <v>46</v>
      </c>
      <c r="I250" s="5" t="s">
        <v>65</v>
      </c>
      <c r="J250" s="5" t="s">
        <v>124</v>
      </c>
      <c r="K250" s="6" t="n">
        <v>25.79</v>
      </c>
      <c r="L250" s="5" t="n">
        <v>6</v>
      </c>
      <c r="M250" s="7" t="n">
        <v>0.2</v>
      </c>
      <c r="N250" s="6" t="n">
        <v>5.3</v>
      </c>
    </row>
    <row r="251" customFormat="false" ht="15" hidden="false" customHeight="false" outlineLevel="0" collapsed="false">
      <c r="A251" s="5" t="s">
        <v>301</v>
      </c>
      <c r="B251" s="5" t="s">
        <v>68</v>
      </c>
      <c r="C251" s="5" t="s">
        <v>69</v>
      </c>
      <c r="D251" s="5" t="s">
        <v>43</v>
      </c>
      <c r="E251" s="5" t="s">
        <v>95</v>
      </c>
      <c r="F251" s="5" t="s">
        <v>96</v>
      </c>
      <c r="G251" s="5" t="n">
        <v>97206</v>
      </c>
      <c r="H251" s="5" t="s">
        <v>72</v>
      </c>
      <c r="I251" s="5" t="s">
        <v>54</v>
      </c>
      <c r="J251" s="5" t="s">
        <v>55</v>
      </c>
      <c r="K251" s="6" t="n">
        <v>178.07</v>
      </c>
      <c r="L251" s="5" t="n">
        <v>3</v>
      </c>
      <c r="M251" s="7" t="n">
        <v>0.5</v>
      </c>
      <c r="N251" s="6" t="n">
        <v>4.5</v>
      </c>
    </row>
    <row r="252" customFormat="false" ht="15" hidden="false" customHeight="false" outlineLevel="0" collapsed="false">
      <c r="A252" s="5" t="s">
        <v>322</v>
      </c>
      <c r="B252" s="5" t="s">
        <v>57</v>
      </c>
      <c r="C252" s="5" t="s">
        <v>42</v>
      </c>
      <c r="D252" s="5" t="s">
        <v>43</v>
      </c>
      <c r="E252" s="5" t="s">
        <v>70</v>
      </c>
      <c r="F252" s="5" t="s">
        <v>71</v>
      </c>
      <c r="G252" s="5" t="n">
        <v>80219</v>
      </c>
      <c r="H252" s="5" t="s">
        <v>72</v>
      </c>
      <c r="I252" s="5" t="s">
        <v>47</v>
      </c>
      <c r="J252" s="5" t="s">
        <v>84</v>
      </c>
      <c r="K252" s="6" t="n">
        <v>28.44</v>
      </c>
      <c r="L252" s="5" t="n">
        <v>9</v>
      </c>
      <c r="M252" s="7" t="n">
        <v>0</v>
      </c>
      <c r="N252" s="6" t="n">
        <v>-1.46</v>
      </c>
    </row>
    <row r="253" customFormat="false" ht="15" hidden="false" customHeight="false" outlineLevel="0" collapsed="false">
      <c r="A253" s="5" t="s">
        <v>209</v>
      </c>
      <c r="B253" s="5" t="s">
        <v>41</v>
      </c>
      <c r="C253" s="5" t="s">
        <v>42</v>
      </c>
      <c r="D253" s="5" t="s">
        <v>43</v>
      </c>
      <c r="E253" s="5" t="s">
        <v>62</v>
      </c>
      <c r="F253" s="5" t="s">
        <v>63</v>
      </c>
      <c r="G253" s="5" t="n">
        <v>77095</v>
      </c>
      <c r="H253" s="5" t="s">
        <v>64</v>
      </c>
      <c r="I253" s="5" t="s">
        <v>54</v>
      </c>
      <c r="J253" s="5" t="s">
        <v>93</v>
      </c>
      <c r="K253" s="6" t="n">
        <v>284.56</v>
      </c>
      <c r="L253" s="5" t="n">
        <v>2</v>
      </c>
      <c r="M253" s="7" t="n">
        <v>0.1</v>
      </c>
      <c r="N253" s="6" t="n">
        <v>115.46</v>
      </c>
    </row>
    <row r="254" customFormat="false" ht="15" hidden="false" customHeight="false" outlineLevel="0" collapsed="false">
      <c r="A254" s="5" t="s">
        <v>367</v>
      </c>
      <c r="B254" s="5" t="s">
        <v>57</v>
      </c>
      <c r="C254" s="5" t="s">
        <v>69</v>
      </c>
      <c r="D254" s="5" t="s">
        <v>43</v>
      </c>
      <c r="E254" s="5" t="s">
        <v>112</v>
      </c>
      <c r="F254" s="5" t="s">
        <v>63</v>
      </c>
      <c r="G254" s="5" t="n">
        <v>75217</v>
      </c>
      <c r="H254" s="5" t="s">
        <v>64</v>
      </c>
      <c r="I254" s="5" t="s">
        <v>65</v>
      </c>
      <c r="J254" s="5" t="s">
        <v>66</v>
      </c>
      <c r="K254" s="6" t="n">
        <v>139.8</v>
      </c>
      <c r="L254" s="5" t="n">
        <v>2</v>
      </c>
      <c r="M254" s="7" t="n">
        <v>0.2</v>
      </c>
      <c r="N254" s="6" t="n">
        <v>14.07</v>
      </c>
    </row>
    <row r="255" customFormat="false" ht="15" hidden="false" customHeight="false" outlineLevel="0" collapsed="false">
      <c r="A255" s="5" t="s">
        <v>289</v>
      </c>
      <c r="B255" s="5" t="s">
        <v>83</v>
      </c>
      <c r="C255" s="5" t="s">
        <v>69</v>
      </c>
      <c r="D255" s="5" t="s">
        <v>43</v>
      </c>
      <c r="E255" s="5" t="s">
        <v>95</v>
      </c>
      <c r="F255" s="5" t="s">
        <v>96</v>
      </c>
      <c r="G255" s="5" t="n">
        <v>97206</v>
      </c>
      <c r="H255" s="5" t="s">
        <v>72</v>
      </c>
      <c r="I255" s="5" t="s">
        <v>54</v>
      </c>
      <c r="J255" s="5" t="s">
        <v>93</v>
      </c>
      <c r="K255" s="6" t="n">
        <v>115.52</v>
      </c>
      <c r="L255" s="5" t="n">
        <v>2</v>
      </c>
      <c r="M255" s="7" t="n">
        <v>0</v>
      </c>
      <c r="N255" s="6" t="n">
        <v>63.34</v>
      </c>
    </row>
    <row r="256" customFormat="false" ht="15" hidden="false" customHeight="false" outlineLevel="0" collapsed="false">
      <c r="A256" s="5" t="s">
        <v>203</v>
      </c>
      <c r="B256" s="5" t="s">
        <v>83</v>
      </c>
      <c r="C256" s="5" t="s">
        <v>50</v>
      </c>
      <c r="D256" s="5" t="s">
        <v>43</v>
      </c>
      <c r="E256" s="5" t="s">
        <v>176</v>
      </c>
      <c r="F256" s="5" t="s">
        <v>177</v>
      </c>
      <c r="G256" s="5" t="n">
        <v>55407</v>
      </c>
      <c r="H256" s="5" t="s">
        <v>64</v>
      </c>
      <c r="I256" s="5" t="s">
        <v>47</v>
      </c>
      <c r="J256" s="5" t="s">
        <v>84</v>
      </c>
      <c r="K256" s="6" t="n">
        <v>56.15</v>
      </c>
      <c r="L256" s="5" t="n">
        <v>2</v>
      </c>
      <c r="M256" s="7" t="n">
        <v>0.2</v>
      </c>
      <c r="N256" s="6" t="n">
        <v>-11.12</v>
      </c>
    </row>
    <row r="257" customFormat="false" ht="15" hidden="false" customHeight="false" outlineLevel="0" collapsed="false">
      <c r="A257" s="5" t="s">
        <v>315</v>
      </c>
      <c r="B257" s="5" t="s">
        <v>57</v>
      </c>
      <c r="C257" s="5" t="s">
        <v>50</v>
      </c>
      <c r="D257" s="5" t="s">
        <v>43</v>
      </c>
      <c r="E257" s="5" t="s">
        <v>91</v>
      </c>
      <c r="F257" s="5" t="s">
        <v>92</v>
      </c>
      <c r="G257" s="5" t="n">
        <v>33311</v>
      </c>
      <c r="H257" s="5" t="s">
        <v>53</v>
      </c>
      <c r="I257" s="5" t="s">
        <v>54</v>
      </c>
      <c r="J257" s="5" t="s">
        <v>93</v>
      </c>
      <c r="K257" s="6" t="n">
        <v>8144.44</v>
      </c>
      <c r="L257" s="5" t="n">
        <v>8</v>
      </c>
      <c r="M257" s="7" t="n">
        <v>0.5</v>
      </c>
      <c r="N257" s="6" t="n">
        <v>-2075.14</v>
      </c>
    </row>
    <row r="258" customFormat="false" ht="15" hidden="false" customHeight="false" outlineLevel="0" collapsed="false">
      <c r="A258" s="5" t="s">
        <v>386</v>
      </c>
      <c r="B258" s="5" t="s">
        <v>57</v>
      </c>
      <c r="C258" s="5" t="s">
        <v>42</v>
      </c>
      <c r="D258" s="5" t="s">
        <v>43</v>
      </c>
      <c r="E258" s="5" t="s">
        <v>62</v>
      </c>
      <c r="F258" s="5" t="s">
        <v>63</v>
      </c>
      <c r="G258" s="5" t="n">
        <v>77095</v>
      </c>
      <c r="H258" s="5" t="s">
        <v>64</v>
      </c>
      <c r="I258" s="5" t="s">
        <v>54</v>
      </c>
      <c r="J258" s="5" t="s">
        <v>93</v>
      </c>
      <c r="K258" s="6" t="n">
        <v>118.6</v>
      </c>
      <c r="L258" s="5" t="n">
        <v>9</v>
      </c>
      <c r="M258" s="7" t="n">
        <v>0.4</v>
      </c>
      <c r="N258" s="6" t="n">
        <v>25.8</v>
      </c>
    </row>
    <row r="259" customFormat="false" ht="15" hidden="false" customHeight="false" outlineLevel="0" collapsed="false">
      <c r="A259" s="5" t="s">
        <v>208</v>
      </c>
      <c r="B259" s="5" t="s">
        <v>68</v>
      </c>
      <c r="C259" s="5" t="s">
        <v>42</v>
      </c>
      <c r="D259" s="5" t="s">
        <v>43</v>
      </c>
      <c r="E259" s="5" t="s">
        <v>79</v>
      </c>
      <c r="F259" s="5" t="s">
        <v>80</v>
      </c>
      <c r="G259" s="5" t="n">
        <v>2127</v>
      </c>
      <c r="H259" s="5" t="s">
        <v>46</v>
      </c>
      <c r="I259" s="5" t="s">
        <v>65</v>
      </c>
      <c r="J259" s="5" t="s">
        <v>109</v>
      </c>
      <c r="K259" s="6" t="n">
        <v>51.09</v>
      </c>
      <c r="L259" s="5" t="n">
        <v>5</v>
      </c>
      <c r="M259" s="7" t="n">
        <v>0.1</v>
      </c>
      <c r="N259" s="6" t="n">
        <v>14.27</v>
      </c>
    </row>
    <row r="260" customFormat="false" ht="15" hidden="false" customHeight="false" outlineLevel="0" collapsed="false">
      <c r="A260" s="5" t="s">
        <v>94</v>
      </c>
      <c r="B260" s="5" t="s">
        <v>57</v>
      </c>
      <c r="C260" s="5" t="s">
        <v>69</v>
      </c>
      <c r="D260" s="5" t="s">
        <v>43</v>
      </c>
      <c r="E260" s="5" t="s">
        <v>95</v>
      </c>
      <c r="F260" s="5" t="s">
        <v>96</v>
      </c>
      <c r="G260" s="5" t="n">
        <v>97206</v>
      </c>
      <c r="H260" s="5" t="s">
        <v>72</v>
      </c>
      <c r="I260" s="5" t="s">
        <v>54</v>
      </c>
      <c r="J260" s="5" t="s">
        <v>55</v>
      </c>
      <c r="K260" s="6" t="n">
        <v>261.72</v>
      </c>
      <c r="L260" s="5" t="n">
        <v>8</v>
      </c>
      <c r="M260" s="7" t="n">
        <v>0.4</v>
      </c>
      <c r="N260" s="6" t="n">
        <v>44.84</v>
      </c>
    </row>
    <row r="261" customFormat="false" ht="15" hidden="false" customHeight="false" outlineLevel="0" collapsed="false">
      <c r="A261" s="5" t="s">
        <v>311</v>
      </c>
      <c r="B261" s="5" t="s">
        <v>68</v>
      </c>
      <c r="C261" s="5" t="s">
        <v>69</v>
      </c>
      <c r="D261" s="5" t="s">
        <v>43</v>
      </c>
      <c r="E261" s="5" t="s">
        <v>107</v>
      </c>
      <c r="F261" s="5" t="s">
        <v>108</v>
      </c>
      <c r="G261" s="5" t="n">
        <v>7102</v>
      </c>
      <c r="H261" s="5" t="s">
        <v>46</v>
      </c>
      <c r="I261" s="5" t="s">
        <v>65</v>
      </c>
      <c r="J261" s="5" t="s">
        <v>120</v>
      </c>
      <c r="K261" s="6" t="n">
        <v>87.62</v>
      </c>
      <c r="L261" s="5" t="n">
        <v>8</v>
      </c>
      <c r="M261" s="7" t="n">
        <v>0.2</v>
      </c>
      <c r="N261" s="6" t="n">
        <v>8.48</v>
      </c>
    </row>
    <row r="262" customFormat="false" ht="15" hidden="false" customHeight="false" outlineLevel="0" collapsed="false">
      <c r="A262" s="5" t="s">
        <v>252</v>
      </c>
      <c r="B262" s="5" t="s">
        <v>57</v>
      </c>
      <c r="C262" s="5" t="s">
        <v>69</v>
      </c>
      <c r="D262" s="5" t="s">
        <v>43</v>
      </c>
      <c r="E262" s="5" t="s">
        <v>75</v>
      </c>
      <c r="F262" s="5" t="s">
        <v>76</v>
      </c>
      <c r="G262" s="5" t="n">
        <v>60610</v>
      </c>
      <c r="H262" s="5" t="s">
        <v>64</v>
      </c>
      <c r="I262" s="5" t="s">
        <v>65</v>
      </c>
      <c r="J262" s="5" t="s">
        <v>120</v>
      </c>
      <c r="K262" s="6" t="n">
        <v>42.84</v>
      </c>
      <c r="L262" s="5" t="n">
        <v>3</v>
      </c>
      <c r="M262" s="7" t="n">
        <v>0.4</v>
      </c>
      <c r="N262" s="6" t="n">
        <v>3.07</v>
      </c>
    </row>
    <row r="263" customFormat="false" ht="15" hidden="false" customHeight="false" outlineLevel="0" collapsed="false">
      <c r="A263" s="5" t="s">
        <v>290</v>
      </c>
      <c r="B263" s="5" t="s">
        <v>57</v>
      </c>
      <c r="C263" s="5" t="s">
        <v>42</v>
      </c>
      <c r="D263" s="5" t="s">
        <v>43</v>
      </c>
      <c r="E263" s="5" t="s">
        <v>44</v>
      </c>
      <c r="F263" s="5" t="s">
        <v>45</v>
      </c>
      <c r="G263" s="5" t="n">
        <v>10011</v>
      </c>
      <c r="H263" s="5" t="s">
        <v>46</v>
      </c>
      <c r="I263" s="5" t="s">
        <v>65</v>
      </c>
      <c r="J263" s="5" t="s">
        <v>133</v>
      </c>
      <c r="K263" s="6" t="n">
        <v>102.11</v>
      </c>
      <c r="L263" s="5" t="n">
        <v>6</v>
      </c>
      <c r="M263" s="7" t="n">
        <v>0.2</v>
      </c>
      <c r="N263" s="6" t="n">
        <v>32.68</v>
      </c>
    </row>
    <row r="264" customFormat="false" ht="15" hidden="false" customHeight="false" outlineLevel="0" collapsed="false">
      <c r="A264" s="5" t="s">
        <v>370</v>
      </c>
      <c r="B264" s="5" t="s">
        <v>68</v>
      </c>
      <c r="C264" s="5" t="s">
        <v>50</v>
      </c>
      <c r="D264" s="5" t="s">
        <v>43</v>
      </c>
      <c r="E264" s="5" t="s">
        <v>112</v>
      </c>
      <c r="F264" s="5" t="s">
        <v>63</v>
      </c>
      <c r="G264" s="5" t="n">
        <v>75217</v>
      </c>
      <c r="H264" s="5" t="s">
        <v>64</v>
      </c>
      <c r="I264" s="5" t="s">
        <v>54</v>
      </c>
      <c r="J264" s="5" t="s">
        <v>93</v>
      </c>
      <c r="K264" s="6" t="n">
        <v>66.25</v>
      </c>
      <c r="L264" s="5" t="n">
        <v>6</v>
      </c>
      <c r="M264" s="7" t="n">
        <v>0.4</v>
      </c>
      <c r="N264" s="6" t="n">
        <v>14.65</v>
      </c>
    </row>
    <row r="265" customFormat="false" ht="15" hidden="false" customHeight="false" outlineLevel="0" collapsed="false">
      <c r="A265" s="5" t="s">
        <v>182</v>
      </c>
      <c r="B265" s="5" t="s">
        <v>41</v>
      </c>
      <c r="C265" s="5" t="s">
        <v>50</v>
      </c>
      <c r="D265" s="5" t="s">
        <v>43</v>
      </c>
      <c r="E265" s="5" t="s">
        <v>70</v>
      </c>
      <c r="F265" s="5" t="s">
        <v>71</v>
      </c>
      <c r="G265" s="5" t="n">
        <v>80219</v>
      </c>
      <c r="H265" s="5" t="s">
        <v>72</v>
      </c>
      <c r="I265" s="5" t="s">
        <v>54</v>
      </c>
      <c r="J265" s="5" t="s">
        <v>73</v>
      </c>
      <c r="K265" s="6" t="n">
        <v>53.63</v>
      </c>
      <c r="L265" s="5" t="n">
        <v>1</v>
      </c>
      <c r="M265" s="7" t="n">
        <v>0</v>
      </c>
      <c r="N265" s="6" t="n">
        <v>16.36</v>
      </c>
    </row>
    <row r="266" customFormat="false" ht="15" hidden="false" customHeight="false" outlineLevel="0" collapsed="false">
      <c r="A266" s="5" t="s">
        <v>194</v>
      </c>
      <c r="B266" s="5" t="s">
        <v>41</v>
      </c>
      <c r="C266" s="5" t="s">
        <v>69</v>
      </c>
      <c r="D266" s="5" t="s">
        <v>43</v>
      </c>
      <c r="E266" s="5" t="s">
        <v>44</v>
      </c>
      <c r="F266" s="5" t="s">
        <v>45</v>
      </c>
      <c r="G266" s="5" t="n">
        <v>10011</v>
      </c>
      <c r="H266" s="5" t="s">
        <v>46</v>
      </c>
      <c r="I266" s="5" t="s">
        <v>65</v>
      </c>
      <c r="J266" s="5" t="s">
        <v>138</v>
      </c>
      <c r="K266" s="6" t="n">
        <v>10.75</v>
      </c>
      <c r="L266" s="5" t="n">
        <v>3</v>
      </c>
      <c r="M266" s="7" t="n">
        <v>0.2</v>
      </c>
      <c r="N266" s="6" t="n">
        <v>2.67</v>
      </c>
    </row>
    <row r="267" customFormat="false" ht="15" hidden="false" customHeight="false" outlineLevel="0" collapsed="false">
      <c r="A267" s="5" t="s">
        <v>313</v>
      </c>
      <c r="B267" s="5" t="s">
        <v>68</v>
      </c>
      <c r="C267" s="5" t="s">
        <v>42</v>
      </c>
      <c r="D267" s="5" t="s">
        <v>43</v>
      </c>
      <c r="E267" s="5" t="s">
        <v>107</v>
      </c>
      <c r="F267" s="5" t="s">
        <v>108</v>
      </c>
      <c r="G267" s="5" t="n">
        <v>7102</v>
      </c>
      <c r="H267" s="5" t="s">
        <v>46</v>
      </c>
      <c r="I267" s="5" t="s">
        <v>65</v>
      </c>
      <c r="J267" s="5" t="s">
        <v>133</v>
      </c>
      <c r="K267" s="6" t="n">
        <v>43.13</v>
      </c>
      <c r="L267" s="5" t="n">
        <v>1</v>
      </c>
      <c r="M267" s="7" t="n">
        <v>0</v>
      </c>
      <c r="N267" s="6" t="n">
        <v>14.82</v>
      </c>
    </row>
    <row r="268" customFormat="false" ht="15" hidden="false" customHeight="false" outlineLevel="0" collapsed="false">
      <c r="A268" s="5" t="s">
        <v>327</v>
      </c>
      <c r="B268" s="5" t="s">
        <v>57</v>
      </c>
      <c r="C268" s="5" t="s">
        <v>69</v>
      </c>
      <c r="D268" s="5" t="s">
        <v>43</v>
      </c>
      <c r="E268" s="5" t="s">
        <v>75</v>
      </c>
      <c r="F268" s="5" t="s">
        <v>76</v>
      </c>
      <c r="G268" s="5" t="n">
        <v>60610</v>
      </c>
      <c r="H268" s="5" t="s">
        <v>64</v>
      </c>
      <c r="I268" s="5" t="s">
        <v>54</v>
      </c>
      <c r="J268" s="5" t="s">
        <v>73</v>
      </c>
      <c r="K268" s="6" t="n">
        <v>180.86</v>
      </c>
      <c r="L268" s="5" t="n">
        <v>6</v>
      </c>
      <c r="M268" s="7" t="n">
        <v>0.7</v>
      </c>
      <c r="N268" s="6" t="n">
        <v>1.4</v>
      </c>
    </row>
    <row r="269" customFormat="false" ht="15" hidden="false" customHeight="false" outlineLevel="0" collapsed="false">
      <c r="A269" s="5" t="s">
        <v>196</v>
      </c>
      <c r="B269" s="5" t="s">
        <v>57</v>
      </c>
      <c r="C269" s="5" t="s">
        <v>69</v>
      </c>
      <c r="D269" s="5" t="s">
        <v>43</v>
      </c>
      <c r="E269" s="5" t="s">
        <v>95</v>
      </c>
      <c r="F269" s="5" t="s">
        <v>96</v>
      </c>
      <c r="G269" s="5" t="n">
        <v>97206</v>
      </c>
      <c r="H269" s="5" t="s">
        <v>72</v>
      </c>
      <c r="I269" s="5" t="s">
        <v>65</v>
      </c>
      <c r="J269" s="5" t="s">
        <v>120</v>
      </c>
      <c r="K269" s="6" t="n">
        <v>131.97</v>
      </c>
      <c r="L269" s="5" t="n">
        <v>6</v>
      </c>
      <c r="M269" s="7" t="n">
        <v>0</v>
      </c>
      <c r="N269" s="6" t="n">
        <v>37.15</v>
      </c>
    </row>
    <row r="270" customFormat="false" ht="15" hidden="false" customHeight="false" outlineLevel="0" collapsed="false">
      <c r="A270" s="5" t="s">
        <v>167</v>
      </c>
      <c r="B270" s="5" t="s">
        <v>57</v>
      </c>
      <c r="C270" s="5" t="s">
        <v>69</v>
      </c>
      <c r="D270" s="5" t="s">
        <v>43</v>
      </c>
      <c r="E270" s="5" t="s">
        <v>118</v>
      </c>
      <c r="F270" s="5" t="s">
        <v>119</v>
      </c>
      <c r="G270" s="5" t="n">
        <v>98103</v>
      </c>
      <c r="H270" s="5" t="s">
        <v>72</v>
      </c>
      <c r="I270" s="5" t="s">
        <v>47</v>
      </c>
      <c r="J270" s="5" t="s">
        <v>48</v>
      </c>
      <c r="K270" s="6" t="n">
        <v>111.46</v>
      </c>
      <c r="L270" s="5" t="n">
        <v>7</v>
      </c>
      <c r="M270" s="7" t="n">
        <v>0.2</v>
      </c>
      <c r="N270" s="6" t="n">
        <v>3.57</v>
      </c>
    </row>
    <row r="271" customFormat="false" ht="15" hidden="false" customHeight="false" outlineLevel="0" collapsed="false">
      <c r="A271" s="5" t="s">
        <v>392</v>
      </c>
      <c r="B271" s="5" t="s">
        <v>68</v>
      </c>
      <c r="C271" s="5" t="s">
        <v>42</v>
      </c>
      <c r="D271" s="5" t="s">
        <v>43</v>
      </c>
      <c r="E271" s="5" t="s">
        <v>100</v>
      </c>
      <c r="F271" s="5" t="s">
        <v>101</v>
      </c>
      <c r="G271" s="5" t="n">
        <v>19140</v>
      </c>
      <c r="H271" s="5" t="s">
        <v>46</v>
      </c>
      <c r="I271" s="5" t="s">
        <v>65</v>
      </c>
      <c r="J271" s="5" t="s">
        <v>133</v>
      </c>
      <c r="K271" s="6" t="n">
        <v>102.81</v>
      </c>
      <c r="L271" s="5" t="n">
        <v>5</v>
      </c>
      <c r="M271" s="7" t="n">
        <v>0.4</v>
      </c>
      <c r="N271" s="6" t="n">
        <v>24.91</v>
      </c>
    </row>
    <row r="272" customFormat="false" ht="15" hidden="false" customHeight="false" outlineLevel="0" collapsed="false">
      <c r="A272" s="5" t="s">
        <v>328</v>
      </c>
      <c r="B272" s="5" t="s">
        <v>68</v>
      </c>
      <c r="C272" s="5" t="s">
        <v>50</v>
      </c>
      <c r="D272" s="5" t="s">
        <v>43</v>
      </c>
      <c r="E272" s="5" t="s">
        <v>44</v>
      </c>
      <c r="F272" s="5" t="s">
        <v>45</v>
      </c>
      <c r="G272" s="5" t="n">
        <v>10011</v>
      </c>
      <c r="H272" s="5" t="s">
        <v>46</v>
      </c>
      <c r="I272" s="5" t="s">
        <v>65</v>
      </c>
      <c r="J272" s="5" t="s">
        <v>109</v>
      </c>
      <c r="K272" s="6" t="n">
        <v>32.42</v>
      </c>
      <c r="L272" s="5" t="n">
        <v>2</v>
      </c>
      <c r="M272" s="7" t="n">
        <v>0.2</v>
      </c>
      <c r="N272" s="6" t="n">
        <v>7.97</v>
      </c>
    </row>
    <row r="273" customFormat="false" ht="15" hidden="false" customHeight="false" outlineLevel="0" collapsed="false">
      <c r="A273" s="5" t="s">
        <v>350</v>
      </c>
      <c r="B273" s="5" t="s">
        <v>68</v>
      </c>
      <c r="C273" s="5" t="s">
        <v>69</v>
      </c>
      <c r="D273" s="5" t="s">
        <v>43</v>
      </c>
      <c r="E273" s="5" t="s">
        <v>58</v>
      </c>
      <c r="F273" s="5" t="s">
        <v>59</v>
      </c>
      <c r="G273" s="5" t="n">
        <v>30318</v>
      </c>
      <c r="H273" s="5" t="s">
        <v>53</v>
      </c>
      <c r="I273" s="5" t="s">
        <v>47</v>
      </c>
      <c r="J273" s="5" t="s">
        <v>84</v>
      </c>
      <c r="K273" s="6" t="n">
        <v>76.04</v>
      </c>
      <c r="L273" s="5" t="n">
        <v>9</v>
      </c>
      <c r="M273" s="7" t="n">
        <v>0.2</v>
      </c>
      <c r="N273" s="6" t="n">
        <v>-9.7</v>
      </c>
    </row>
    <row r="274" customFormat="false" ht="15" hidden="false" customHeight="false" outlineLevel="0" collapsed="false">
      <c r="A274" s="5" t="s">
        <v>255</v>
      </c>
      <c r="B274" s="5" t="s">
        <v>57</v>
      </c>
      <c r="C274" s="5" t="s">
        <v>50</v>
      </c>
      <c r="D274" s="5" t="s">
        <v>43</v>
      </c>
      <c r="E274" s="5" t="s">
        <v>44</v>
      </c>
      <c r="F274" s="5" t="s">
        <v>45</v>
      </c>
      <c r="G274" s="5" t="n">
        <v>10011</v>
      </c>
      <c r="H274" s="5" t="s">
        <v>46</v>
      </c>
      <c r="I274" s="5" t="s">
        <v>54</v>
      </c>
      <c r="J274" s="5" t="s">
        <v>93</v>
      </c>
      <c r="K274" s="6" t="n">
        <v>348.71</v>
      </c>
      <c r="L274" s="5" t="n">
        <v>2</v>
      </c>
      <c r="M274" s="7" t="n">
        <v>0.1</v>
      </c>
      <c r="N274" s="6" t="n">
        <v>156.78</v>
      </c>
    </row>
    <row r="275" customFormat="false" ht="15" hidden="false" customHeight="false" outlineLevel="0" collapsed="false">
      <c r="A275" s="5" t="s">
        <v>98</v>
      </c>
      <c r="B275" s="5" t="s">
        <v>57</v>
      </c>
      <c r="C275" s="5" t="s">
        <v>69</v>
      </c>
      <c r="D275" s="5" t="s">
        <v>43</v>
      </c>
      <c r="E275" s="5" t="s">
        <v>95</v>
      </c>
      <c r="F275" s="5" t="s">
        <v>96</v>
      </c>
      <c r="G275" s="5" t="n">
        <v>97206</v>
      </c>
      <c r="H275" s="5" t="s">
        <v>72</v>
      </c>
      <c r="I275" s="5" t="s">
        <v>54</v>
      </c>
      <c r="J275" s="5" t="s">
        <v>73</v>
      </c>
      <c r="K275" s="6" t="n">
        <v>343.57</v>
      </c>
      <c r="L275" s="5" t="n">
        <v>1</v>
      </c>
      <c r="M275" s="7" t="n">
        <v>0.2</v>
      </c>
      <c r="N275" s="6" t="n">
        <v>94.03</v>
      </c>
    </row>
    <row r="276" customFormat="false" ht="15" hidden="false" customHeight="false" outlineLevel="0" collapsed="false">
      <c r="A276" s="5" t="s">
        <v>152</v>
      </c>
      <c r="B276" s="5" t="s">
        <v>83</v>
      </c>
      <c r="C276" s="5" t="s">
        <v>42</v>
      </c>
      <c r="D276" s="5" t="s">
        <v>43</v>
      </c>
      <c r="E276" s="5" t="s">
        <v>107</v>
      </c>
      <c r="F276" s="5" t="s">
        <v>108</v>
      </c>
      <c r="G276" s="5" t="n">
        <v>7102</v>
      </c>
      <c r="H276" s="5" t="s">
        <v>46</v>
      </c>
      <c r="I276" s="5" t="s">
        <v>47</v>
      </c>
      <c r="J276" s="5" t="s">
        <v>84</v>
      </c>
      <c r="K276" s="6" t="n">
        <v>251.27</v>
      </c>
      <c r="L276" s="5" t="n">
        <v>9</v>
      </c>
      <c r="M276" s="7" t="n">
        <v>0.1</v>
      </c>
      <c r="N276" s="6" t="n">
        <v>-15.08</v>
      </c>
    </row>
    <row r="277" customFormat="false" ht="15" hidden="false" customHeight="false" outlineLevel="0" collapsed="false">
      <c r="A277" s="5" t="s">
        <v>157</v>
      </c>
      <c r="B277" s="5" t="s">
        <v>57</v>
      </c>
      <c r="C277" s="5" t="s">
        <v>42</v>
      </c>
      <c r="D277" s="5" t="s">
        <v>43</v>
      </c>
      <c r="E277" s="5" t="s">
        <v>75</v>
      </c>
      <c r="F277" s="5" t="s">
        <v>76</v>
      </c>
      <c r="G277" s="5" t="n">
        <v>60610</v>
      </c>
      <c r="H277" s="5" t="s">
        <v>64</v>
      </c>
      <c r="I277" s="5" t="s">
        <v>65</v>
      </c>
      <c r="J277" s="5" t="s">
        <v>81</v>
      </c>
      <c r="K277" s="6" t="n">
        <v>36.83</v>
      </c>
      <c r="L277" s="5" t="n">
        <v>1</v>
      </c>
      <c r="M277" s="7" t="n">
        <v>0.1</v>
      </c>
      <c r="N277" s="6" t="n">
        <v>9.29</v>
      </c>
    </row>
    <row r="278" customFormat="false" ht="15" hidden="false" customHeight="false" outlineLevel="0" collapsed="false">
      <c r="A278" s="5" t="s">
        <v>223</v>
      </c>
      <c r="B278" s="5" t="s">
        <v>41</v>
      </c>
      <c r="C278" s="5" t="s">
        <v>42</v>
      </c>
      <c r="D278" s="5" t="s">
        <v>43</v>
      </c>
      <c r="E278" s="5" t="s">
        <v>91</v>
      </c>
      <c r="F278" s="5" t="s">
        <v>92</v>
      </c>
      <c r="G278" s="5" t="n">
        <v>33311</v>
      </c>
      <c r="H278" s="5" t="s">
        <v>53</v>
      </c>
      <c r="I278" s="5" t="s">
        <v>65</v>
      </c>
      <c r="J278" s="5" t="s">
        <v>109</v>
      </c>
      <c r="K278" s="6" t="n">
        <v>102.12</v>
      </c>
      <c r="L278" s="5" t="n">
        <v>7</v>
      </c>
      <c r="M278" s="7" t="n">
        <v>0.2</v>
      </c>
      <c r="N278" s="6" t="n">
        <v>13.73</v>
      </c>
    </row>
    <row r="279" customFormat="false" ht="15" hidden="false" customHeight="false" outlineLevel="0" collapsed="false">
      <c r="A279" s="5" t="s">
        <v>148</v>
      </c>
      <c r="B279" s="5" t="s">
        <v>41</v>
      </c>
      <c r="C279" s="5" t="s">
        <v>69</v>
      </c>
      <c r="D279" s="5" t="s">
        <v>43</v>
      </c>
      <c r="E279" s="5" t="s">
        <v>62</v>
      </c>
      <c r="F279" s="5" t="s">
        <v>63</v>
      </c>
      <c r="G279" s="5" t="n">
        <v>77095</v>
      </c>
      <c r="H279" s="5" t="s">
        <v>64</v>
      </c>
      <c r="I279" s="5" t="s">
        <v>54</v>
      </c>
      <c r="J279" s="5" t="s">
        <v>73</v>
      </c>
      <c r="K279" s="6" t="n">
        <v>149.2</v>
      </c>
      <c r="L279" s="5" t="n">
        <v>3</v>
      </c>
      <c r="M279" s="7" t="n">
        <v>0</v>
      </c>
      <c r="N279" s="6" t="n">
        <v>-28.3</v>
      </c>
    </row>
    <row r="280" customFormat="false" ht="15" hidden="false" customHeight="false" outlineLevel="0" collapsed="false">
      <c r="A280" s="5" t="s">
        <v>354</v>
      </c>
      <c r="B280" s="5" t="s">
        <v>41</v>
      </c>
      <c r="C280" s="5" t="s">
        <v>50</v>
      </c>
      <c r="D280" s="5" t="s">
        <v>43</v>
      </c>
      <c r="E280" s="5" t="s">
        <v>118</v>
      </c>
      <c r="F280" s="5" t="s">
        <v>119</v>
      </c>
      <c r="G280" s="5" t="n">
        <v>98103</v>
      </c>
      <c r="H280" s="5" t="s">
        <v>72</v>
      </c>
      <c r="I280" s="5" t="s">
        <v>54</v>
      </c>
      <c r="J280" s="5" t="s">
        <v>73</v>
      </c>
      <c r="K280" s="6" t="n">
        <v>254.59</v>
      </c>
      <c r="L280" s="5" t="n">
        <v>2</v>
      </c>
      <c r="M280" s="7" t="n">
        <v>0</v>
      </c>
      <c r="N280" s="6" t="n">
        <v>80.78</v>
      </c>
    </row>
    <row r="281" customFormat="false" ht="15" hidden="false" customHeight="false" outlineLevel="0" collapsed="false">
      <c r="A281" s="5" t="s">
        <v>140</v>
      </c>
      <c r="B281" s="5" t="s">
        <v>41</v>
      </c>
      <c r="C281" s="5" t="s">
        <v>69</v>
      </c>
      <c r="D281" s="5" t="s">
        <v>43</v>
      </c>
      <c r="E281" s="5" t="s">
        <v>70</v>
      </c>
      <c r="F281" s="5" t="s">
        <v>71</v>
      </c>
      <c r="G281" s="5" t="n">
        <v>80219</v>
      </c>
      <c r="H281" s="5" t="s">
        <v>72</v>
      </c>
      <c r="I281" s="5" t="s">
        <v>47</v>
      </c>
      <c r="J281" s="5" t="s">
        <v>48</v>
      </c>
      <c r="K281" s="6" t="n">
        <v>156.24</v>
      </c>
      <c r="L281" s="5" t="n">
        <v>3</v>
      </c>
      <c r="M281" s="7" t="n">
        <v>0.2</v>
      </c>
      <c r="N281" s="6" t="n">
        <v>13.51</v>
      </c>
    </row>
    <row r="282" customFormat="false" ht="15" hidden="false" customHeight="false" outlineLevel="0" collapsed="false">
      <c r="A282" s="5" t="s">
        <v>336</v>
      </c>
      <c r="B282" s="5" t="s">
        <v>57</v>
      </c>
      <c r="C282" s="5" t="s">
        <v>50</v>
      </c>
      <c r="D282" s="5" t="s">
        <v>43</v>
      </c>
      <c r="E282" s="5" t="s">
        <v>104</v>
      </c>
      <c r="F282" s="5" t="s">
        <v>105</v>
      </c>
      <c r="G282" s="5" t="n">
        <v>28205</v>
      </c>
      <c r="H282" s="5" t="s">
        <v>53</v>
      </c>
      <c r="I282" s="5" t="s">
        <v>54</v>
      </c>
      <c r="J282" s="5" t="s">
        <v>73</v>
      </c>
      <c r="K282" s="6" t="n">
        <v>64.34</v>
      </c>
      <c r="L282" s="5" t="n">
        <v>9</v>
      </c>
      <c r="M282" s="7" t="n">
        <v>0.15</v>
      </c>
      <c r="N282" s="6" t="n">
        <v>18.58</v>
      </c>
    </row>
    <row r="283" customFormat="false" ht="15" hidden="false" customHeight="false" outlineLevel="0" collapsed="false">
      <c r="A283" s="5" t="s">
        <v>251</v>
      </c>
      <c r="B283" s="5" t="s">
        <v>57</v>
      </c>
      <c r="C283" s="5" t="s">
        <v>69</v>
      </c>
      <c r="D283" s="5" t="s">
        <v>43</v>
      </c>
      <c r="E283" s="5" t="s">
        <v>51</v>
      </c>
      <c r="F283" s="5" t="s">
        <v>52</v>
      </c>
      <c r="G283" s="5" t="n">
        <v>37211</v>
      </c>
      <c r="H283" s="5" t="s">
        <v>53</v>
      </c>
      <c r="I283" s="5" t="s">
        <v>47</v>
      </c>
      <c r="J283" s="5" t="s">
        <v>48</v>
      </c>
      <c r="K283" s="6" t="n">
        <v>156.88</v>
      </c>
      <c r="L283" s="5" t="n">
        <v>1</v>
      </c>
      <c r="M283" s="7" t="n">
        <v>0.4</v>
      </c>
      <c r="N283" s="6" t="n">
        <v>-18.8</v>
      </c>
    </row>
    <row r="284" customFormat="false" ht="15" hidden="false" customHeight="false" outlineLevel="0" collapsed="false">
      <c r="A284" s="5" t="s">
        <v>298</v>
      </c>
      <c r="B284" s="5" t="s">
        <v>57</v>
      </c>
      <c r="C284" s="5" t="s">
        <v>69</v>
      </c>
      <c r="D284" s="5" t="s">
        <v>43</v>
      </c>
      <c r="E284" s="5" t="s">
        <v>176</v>
      </c>
      <c r="F284" s="5" t="s">
        <v>177</v>
      </c>
      <c r="G284" s="5" t="n">
        <v>55407</v>
      </c>
      <c r="H284" s="5" t="s">
        <v>64</v>
      </c>
      <c r="I284" s="5" t="s">
        <v>47</v>
      </c>
      <c r="J284" s="5" t="s">
        <v>84</v>
      </c>
      <c r="K284" s="6" t="n">
        <v>226.1</v>
      </c>
      <c r="L284" s="5" t="n">
        <v>2</v>
      </c>
      <c r="M284" s="7" t="n">
        <v>0.1</v>
      </c>
      <c r="N284" s="6" t="n">
        <v>-9.86</v>
      </c>
    </row>
    <row r="285" customFormat="false" ht="15" hidden="false" customHeight="false" outlineLevel="0" collapsed="false">
      <c r="A285" s="5" t="s">
        <v>278</v>
      </c>
      <c r="B285" s="5" t="s">
        <v>68</v>
      </c>
      <c r="C285" s="5" t="s">
        <v>69</v>
      </c>
      <c r="D285" s="5" t="s">
        <v>43</v>
      </c>
      <c r="E285" s="5" t="s">
        <v>95</v>
      </c>
      <c r="F285" s="5" t="s">
        <v>96</v>
      </c>
      <c r="G285" s="5" t="n">
        <v>97206</v>
      </c>
      <c r="H285" s="5" t="s">
        <v>72</v>
      </c>
      <c r="I285" s="5" t="s">
        <v>65</v>
      </c>
      <c r="J285" s="5" t="s">
        <v>88</v>
      </c>
      <c r="K285" s="6" t="n">
        <v>31.72</v>
      </c>
      <c r="L285" s="5" t="n">
        <v>3</v>
      </c>
      <c r="M285" s="7" t="n">
        <v>0.3</v>
      </c>
      <c r="N285" s="6" t="n">
        <v>1.11</v>
      </c>
    </row>
    <row r="286" customFormat="false" ht="15" hidden="false" customHeight="false" outlineLevel="0" collapsed="false">
      <c r="A286" s="5" t="s">
        <v>102</v>
      </c>
      <c r="B286" s="5" t="s">
        <v>83</v>
      </c>
      <c r="C286" s="5" t="s">
        <v>50</v>
      </c>
      <c r="D286" s="5" t="s">
        <v>43</v>
      </c>
      <c r="E286" s="5" t="s">
        <v>62</v>
      </c>
      <c r="F286" s="5" t="s">
        <v>63</v>
      </c>
      <c r="G286" s="5" t="n">
        <v>77095</v>
      </c>
      <c r="H286" s="5" t="s">
        <v>64</v>
      </c>
      <c r="I286" s="5" t="s">
        <v>47</v>
      </c>
      <c r="J286" s="5" t="s">
        <v>84</v>
      </c>
      <c r="K286" s="6" t="n">
        <v>136.78</v>
      </c>
      <c r="L286" s="5" t="n">
        <v>7</v>
      </c>
      <c r="M286" s="7" t="n">
        <v>0.7</v>
      </c>
      <c r="N286" s="6" t="n">
        <v>-59.83</v>
      </c>
    </row>
    <row r="287" customFormat="false" ht="15" hidden="false" customHeight="false" outlineLevel="0" collapsed="false">
      <c r="A287" s="5" t="s">
        <v>279</v>
      </c>
      <c r="B287" s="5" t="s">
        <v>57</v>
      </c>
      <c r="C287" s="5" t="s">
        <v>50</v>
      </c>
      <c r="D287" s="5" t="s">
        <v>43</v>
      </c>
      <c r="E287" s="5" t="s">
        <v>79</v>
      </c>
      <c r="F287" s="5" t="s">
        <v>80</v>
      </c>
      <c r="G287" s="5" t="n">
        <v>2127</v>
      </c>
      <c r="H287" s="5" t="s">
        <v>46</v>
      </c>
      <c r="I287" s="5" t="s">
        <v>47</v>
      </c>
      <c r="J287" s="5" t="s">
        <v>60</v>
      </c>
      <c r="K287" s="6" t="n">
        <v>266.15</v>
      </c>
      <c r="L287" s="5" t="n">
        <v>7</v>
      </c>
      <c r="M287" s="7" t="n">
        <v>0.2</v>
      </c>
      <c r="N287" s="6" t="n">
        <v>-1.99</v>
      </c>
    </row>
    <row r="288" customFormat="false" ht="15" hidden="false" customHeight="false" outlineLevel="0" collapsed="false">
      <c r="A288" s="5" t="s">
        <v>305</v>
      </c>
      <c r="B288" s="5" t="s">
        <v>68</v>
      </c>
      <c r="C288" s="5" t="s">
        <v>42</v>
      </c>
      <c r="D288" s="5" t="s">
        <v>43</v>
      </c>
      <c r="E288" s="5" t="s">
        <v>95</v>
      </c>
      <c r="F288" s="5" t="s">
        <v>96</v>
      </c>
      <c r="G288" s="5" t="n">
        <v>97206</v>
      </c>
      <c r="H288" s="5" t="s">
        <v>72</v>
      </c>
      <c r="I288" s="5" t="s">
        <v>65</v>
      </c>
      <c r="J288" s="5" t="s">
        <v>66</v>
      </c>
      <c r="K288" s="6" t="n">
        <v>44.92</v>
      </c>
      <c r="L288" s="5" t="n">
        <v>8</v>
      </c>
      <c r="M288" s="7" t="n">
        <v>0</v>
      </c>
      <c r="N288" s="6" t="n">
        <v>11.35</v>
      </c>
    </row>
    <row r="289" customFormat="false" ht="15" hidden="false" customHeight="false" outlineLevel="0" collapsed="false">
      <c r="A289" s="5" t="s">
        <v>330</v>
      </c>
      <c r="B289" s="5" t="s">
        <v>83</v>
      </c>
      <c r="C289" s="5" t="s">
        <v>69</v>
      </c>
      <c r="D289" s="5" t="s">
        <v>43</v>
      </c>
      <c r="E289" s="5" t="s">
        <v>95</v>
      </c>
      <c r="F289" s="5" t="s">
        <v>96</v>
      </c>
      <c r="G289" s="5" t="n">
        <v>97206</v>
      </c>
      <c r="H289" s="5" t="s">
        <v>72</v>
      </c>
      <c r="I289" s="5" t="s">
        <v>54</v>
      </c>
      <c r="J289" s="5" t="s">
        <v>73</v>
      </c>
      <c r="K289" s="6" t="n">
        <v>205.17</v>
      </c>
      <c r="L289" s="5" t="n">
        <v>9</v>
      </c>
      <c r="M289" s="7" t="n">
        <v>0.7</v>
      </c>
      <c r="N289" s="6" t="n">
        <v>-27.4</v>
      </c>
    </row>
    <row r="290" customFormat="false" ht="15" hidden="false" customHeight="false" outlineLevel="0" collapsed="false">
      <c r="A290" s="5" t="s">
        <v>179</v>
      </c>
      <c r="B290" s="5" t="s">
        <v>57</v>
      </c>
      <c r="C290" s="5" t="s">
        <v>42</v>
      </c>
      <c r="D290" s="5" t="s">
        <v>43</v>
      </c>
      <c r="E290" s="5" t="s">
        <v>176</v>
      </c>
      <c r="F290" s="5" t="s">
        <v>177</v>
      </c>
      <c r="G290" s="5" t="n">
        <v>55407</v>
      </c>
      <c r="H290" s="5" t="s">
        <v>64</v>
      </c>
      <c r="I290" s="5" t="s">
        <v>54</v>
      </c>
      <c r="J290" s="5" t="s">
        <v>77</v>
      </c>
      <c r="K290" s="6" t="n">
        <v>276.13</v>
      </c>
      <c r="L290" s="5" t="n">
        <v>4</v>
      </c>
      <c r="M290" s="7" t="n">
        <v>0.2</v>
      </c>
      <c r="N290" s="6" t="n">
        <v>86.69</v>
      </c>
    </row>
    <row r="291" customFormat="false" ht="15" hidden="false" customHeight="false" outlineLevel="0" collapsed="false">
      <c r="A291" s="5" t="s">
        <v>217</v>
      </c>
      <c r="B291" s="5" t="s">
        <v>68</v>
      </c>
      <c r="C291" s="5" t="s">
        <v>42</v>
      </c>
      <c r="D291" s="5" t="s">
        <v>43</v>
      </c>
      <c r="E291" s="5" t="s">
        <v>79</v>
      </c>
      <c r="F291" s="5" t="s">
        <v>80</v>
      </c>
      <c r="G291" s="5" t="n">
        <v>2127</v>
      </c>
      <c r="H291" s="5" t="s">
        <v>46</v>
      </c>
      <c r="I291" s="5" t="s">
        <v>54</v>
      </c>
      <c r="J291" s="5" t="s">
        <v>55</v>
      </c>
      <c r="K291" s="6" t="n">
        <v>74.96</v>
      </c>
      <c r="L291" s="5" t="n">
        <v>4</v>
      </c>
      <c r="M291" s="7" t="n">
        <v>0</v>
      </c>
      <c r="N291" s="6" t="n">
        <v>32.21</v>
      </c>
    </row>
    <row r="292" customFormat="false" ht="15" hidden="false" customHeight="false" outlineLevel="0" collapsed="false">
      <c r="A292" s="5" t="s">
        <v>292</v>
      </c>
      <c r="B292" s="5" t="s">
        <v>83</v>
      </c>
      <c r="C292" s="5" t="s">
        <v>50</v>
      </c>
      <c r="D292" s="5" t="s">
        <v>43</v>
      </c>
      <c r="E292" s="5" t="s">
        <v>104</v>
      </c>
      <c r="F292" s="5" t="s">
        <v>105</v>
      </c>
      <c r="G292" s="5" t="n">
        <v>28205</v>
      </c>
      <c r="H292" s="5" t="s">
        <v>53</v>
      </c>
      <c r="I292" s="5" t="s">
        <v>54</v>
      </c>
      <c r="J292" s="5" t="s">
        <v>77</v>
      </c>
      <c r="K292" s="6" t="n">
        <v>223.63</v>
      </c>
      <c r="L292" s="5" t="n">
        <v>9</v>
      </c>
      <c r="M292" s="7" t="n">
        <v>0.15</v>
      </c>
      <c r="N292" s="6" t="n">
        <v>107.61</v>
      </c>
    </row>
    <row r="293" customFormat="false" ht="15" hidden="false" customHeight="false" outlineLevel="0" collapsed="false">
      <c r="A293" s="5" t="s">
        <v>395</v>
      </c>
      <c r="B293" s="5" t="s">
        <v>57</v>
      </c>
      <c r="C293" s="5" t="s">
        <v>50</v>
      </c>
      <c r="D293" s="5" t="s">
        <v>43</v>
      </c>
      <c r="E293" s="5" t="s">
        <v>100</v>
      </c>
      <c r="F293" s="5" t="s">
        <v>101</v>
      </c>
      <c r="G293" s="5" t="n">
        <v>19140</v>
      </c>
      <c r="H293" s="5" t="s">
        <v>46</v>
      </c>
      <c r="I293" s="5" t="s">
        <v>65</v>
      </c>
      <c r="J293" s="5" t="s">
        <v>133</v>
      </c>
      <c r="K293" s="6" t="n">
        <v>79.95</v>
      </c>
      <c r="L293" s="5" t="n">
        <v>3</v>
      </c>
      <c r="M293" s="7" t="n">
        <v>0.15</v>
      </c>
      <c r="N293" s="6" t="n">
        <v>20.31</v>
      </c>
    </row>
    <row r="294" customFormat="false" ht="15" hidden="false" customHeight="false" outlineLevel="0" collapsed="false">
      <c r="A294" s="5" t="s">
        <v>155</v>
      </c>
      <c r="B294" s="5" t="s">
        <v>83</v>
      </c>
      <c r="C294" s="5" t="s">
        <v>42</v>
      </c>
      <c r="D294" s="5" t="s">
        <v>43</v>
      </c>
      <c r="E294" s="5" t="s">
        <v>58</v>
      </c>
      <c r="F294" s="5" t="s">
        <v>59</v>
      </c>
      <c r="G294" s="5" t="n">
        <v>30318</v>
      </c>
      <c r="H294" s="5" t="s">
        <v>53</v>
      </c>
      <c r="I294" s="5" t="s">
        <v>54</v>
      </c>
      <c r="J294" s="5" t="s">
        <v>73</v>
      </c>
      <c r="K294" s="6" t="n">
        <v>106.14</v>
      </c>
      <c r="L294" s="5" t="n">
        <v>9</v>
      </c>
      <c r="M294" s="7" t="n">
        <v>0.5</v>
      </c>
      <c r="N294" s="6" t="n">
        <v>0.35</v>
      </c>
    </row>
    <row r="295" customFormat="false" ht="15" hidden="false" customHeight="false" outlineLevel="0" collapsed="false">
      <c r="A295" s="5" t="s">
        <v>249</v>
      </c>
      <c r="B295" s="5" t="s">
        <v>57</v>
      </c>
      <c r="C295" s="5" t="s">
        <v>50</v>
      </c>
      <c r="D295" s="5" t="s">
        <v>43</v>
      </c>
      <c r="E295" s="5" t="s">
        <v>107</v>
      </c>
      <c r="F295" s="5" t="s">
        <v>108</v>
      </c>
      <c r="G295" s="5" t="n">
        <v>7102</v>
      </c>
      <c r="H295" s="5" t="s">
        <v>46</v>
      </c>
      <c r="I295" s="5" t="s">
        <v>65</v>
      </c>
      <c r="J295" s="5" t="s">
        <v>124</v>
      </c>
      <c r="K295" s="6" t="n">
        <v>90.75</v>
      </c>
      <c r="L295" s="5" t="n">
        <v>4</v>
      </c>
      <c r="M295" s="7" t="n">
        <v>0</v>
      </c>
      <c r="N295" s="6" t="n">
        <v>29.86</v>
      </c>
    </row>
    <row r="296" customFormat="false" ht="15" hidden="false" customHeight="false" outlineLevel="0" collapsed="false">
      <c r="A296" s="5" t="s">
        <v>67</v>
      </c>
      <c r="B296" s="5" t="s">
        <v>68</v>
      </c>
      <c r="C296" s="5" t="s">
        <v>69</v>
      </c>
      <c r="D296" s="5" t="s">
        <v>43</v>
      </c>
      <c r="E296" s="5" t="s">
        <v>70</v>
      </c>
      <c r="F296" s="5" t="s">
        <v>71</v>
      </c>
      <c r="G296" s="5" t="n">
        <v>80219</v>
      </c>
      <c r="H296" s="5" t="s">
        <v>72</v>
      </c>
      <c r="I296" s="5" t="s">
        <v>54</v>
      </c>
      <c r="J296" s="5" t="s">
        <v>73</v>
      </c>
      <c r="K296" s="6" t="n">
        <v>54.35</v>
      </c>
      <c r="L296" s="5" t="n">
        <v>2</v>
      </c>
      <c r="M296" s="7" t="n">
        <v>0.7</v>
      </c>
      <c r="N296" s="6" t="n">
        <v>1.26</v>
      </c>
    </row>
    <row r="297" customFormat="false" ht="15" hidden="false" customHeight="false" outlineLevel="0" collapsed="false">
      <c r="A297" s="5" t="s">
        <v>233</v>
      </c>
      <c r="B297" s="5" t="s">
        <v>57</v>
      </c>
      <c r="C297" s="5" t="s">
        <v>50</v>
      </c>
      <c r="D297" s="5" t="s">
        <v>43</v>
      </c>
      <c r="E297" s="5" t="s">
        <v>91</v>
      </c>
      <c r="F297" s="5" t="s">
        <v>92</v>
      </c>
      <c r="G297" s="5" t="n">
        <v>33311</v>
      </c>
      <c r="H297" s="5" t="s">
        <v>53</v>
      </c>
      <c r="I297" s="5" t="s">
        <v>65</v>
      </c>
      <c r="J297" s="5" t="s">
        <v>81</v>
      </c>
      <c r="K297" s="6" t="n">
        <v>118.56</v>
      </c>
      <c r="L297" s="5" t="n">
        <v>3</v>
      </c>
      <c r="M297" s="7" t="n">
        <v>0.15</v>
      </c>
      <c r="N297" s="6" t="n">
        <v>17.19</v>
      </c>
    </row>
    <row r="298" customFormat="false" ht="15" hidden="false" customHeight="false" outlineLevel="0" collapsed="false">
      <c r="A298" s="5" t="s">
        <v>129</v>
      </c>
      <c r="B298" s="5" t="s">
        <v>68</v>
      </c>
      <c r="C298" s="5" t="s">
        <v>50</v>
      </c>
      <c r="D298" s="5" t="s">
        <v>43</v>
      </c>
      <c r="E298" s="5" t="s">
        <v>104</v>
      </c>
      <c r="F298" s="5" t="s">
        <v>105</v>
      </c>
      <c r="G298" s="5" t="n">
        <v>28205</v>
      </c>
      <c r="H298" s="5" t="s">
        <v>53</v>
      </c>
      <c r="I298" s="5" t="s">
        <v>47</v>
      </c>
      <c r="J298" s="5" t="s">
        <v>86</v>
      </c>
      <c r="K298" s="6" t="n">
        <v>39.21</v>
      </c>
      <c r="L298" s="5" t="n">
        <v>6</v>
      </c>
      <c r="M298" s="7" t="n">
        <v>0</v>
      </c>
      <c r="N298" s="6" t="n">
        <v>3.34</v>
      </c>
    </row>
    <row r="299" customFormat="false" ht="15" hidden="false" customHeight="false" outlineLevel="0" collapsed="false">
      <c r="A299" s="5" t="s">
        <v>183</v>
      </c>
      <c r="B299" s="5" t="s">
        <v>83</v>
      </c>
      <c r="C299" s="5" t="s">
        <v>69</v>
      </c>
      <c r="D299" s="5" t="s">
        <v>43</v>
      </c>
      <c r="E299" s="5" t="s">
        <v>107</v>
      </c>
      <c r="F299" s="5" t="s">
        <v>108</v>
      </c>
      <c r="G299" s="5" t="n">
        <v>7102</v>
      </c>
      <c r="H299" s="5" t="s">
        <v>46</v>
      </c>
      <c r="I299" s="5" t="s">
        <v>54</v>
      </c>
      <c r="J299" s="5" t="s">
        <v>93</v>
      </c>
      <c r="K299" s="6" t="n">
        <v>219.7</v>
      </c>
      <c r="L299" s="5" t="n">
        <v>4</v>
      </c>
      <c r="M299" s="7" t="n">
        <v>0.2</v>
      </c>
      <c r="N299" s="6" t="n">
        <v>74.19</v>
      </c>
    </row>
    <row r="300" customFormat="false" ht="15" hidden="false" customHeight="false" outlineLevel="0" collapsed="false">
      <c r="A300" s="5" t="s">
        <v>377</v>
      </c>
      <c r="B300" s="5" t="s">
        <v>41</v>
      </c>
      <c r="C300" s="5" t="s">
        <v>42</v>
      </c>
      <c r="D300" s="5" t="s">
        <v>43</v>
      </c>
      <c r="E300" s="5" t="s">
        <v>44</v>
      </c>
      <c r="F300" s="5" t="s">
        <v>45</v>
      </c>
      <c r="G300" s="5" t="n">
        <v>10011</v>
      </c>
      <c r="H300" s="5" t="s">
        <v>46</v>
      </c>
      <c r="I300" s="5" t="s">
        <v>65</v>
      </c>
      <c r="J300" s="5" t="s">
        <v>124</v>
      </c>
      <c r="K300" s="6" t="n">
        <v>33.92</v>
      </c>
      <c r="L300" s="5" t="n">
        <v>8</v>
      </c>
      <c r="M300" s="7" t="n">
        <v>0.1</v>
      </c>
      <c r="N300" s="6" t="n">
        <v>7.23</v>
      </c>
    </row>
    <row r="301" customFormat="false" ht="15" hidden="false" customHeight="false" outlineLevel="0" collapsed="false">
      <c r="A301" s="5" t="s">
        <v>360</v>
      </c>
      <c r="B301" s="5" t="s">
        <v>57</v>
      </c>
      <c r="C301" s="5" t="s">
        <v>42</v>
      </c>
      <c r="D301" s="5" t="s">
        <v>43</v>
      </c>
      <c r="E301" s="5" t="s">
        <v>114</v>
      </c>
      <c r="F301" s="5" t="s">
        <v>115</v>
      </c>
      <c r="G301" s="5" t="n">
        <v>90036</v>
      </c>
      <c r="H301" s="5" t="s">
        <v>72</v>
      </c>
      <c r="I301" s="5" t="s">
        <v>47</v>
      </c>
      <c r="J301" s="5" t="s">
        <v>84</v>
      </c>
      <c r="K301" s="6" t="n">
        <v>150.2</v>
      </c>
      <c r="L301" s="5" t="n">
        <v>9</v>
      </c>
      <c r="M301" s="7" t="n">
        <v>0.2</v>
      </c>
      <c r="N301" s="6" t="n">
        <v>-16.73</v>
      </c>
    </row>
  </sheetData>
  <conditionalFormatting sqref="A2:N301">
    <cfRule type="expression" priority="2" aboveAverage="0" equalAverage="0" bottom="0" percent="0" rank="0" text="" dxfId="5">
      <formula>AND($M2&gt;0.2,$N2&lt;0)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3"/>
  </cols>
  <sheetData>
    <row r="1" customFormat="false" ht="15" hidden="false" customHeight="true" outlineLevel="0" collapsed="false">
      <c r="B1" s="15" t="s">
        <v>412</v>
      </c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false" outlineLevel="0" collapsed="false">
      <c r="B2" s="15"/>
      <c r="C2" s="15"/>
      <c r="D2" s="15"/>
      <c r="E2" s="15"/>
      <c r="F2" s="15"/>
      <c r="G2" s="15"/>
      <c r="H2" s="15"/>
      <c r="I2" s="15"/>
      <c r="J2" s="15"/>
    </row>
    <row r="4" customFormat="false" ht="19.5" hidden="false" customHeight="true" outlineLevel="0" collapsed="false">
      <c r="B4" s="16" t="s">
        <v>413</v>
      </c>
      <c r="C4" s="16"/>
      <c r="D4" s="16"/>
      <c r="E4" s="17" t="s">
        <v>414</v>
      </c>
      <c r="F4" s="17"/>
      <c r="G4" s="17"/>
      <c r="H4" s="18" t="s">
        <v>415</v>
      </c>
      <c r="I4" s="18"/>
      <c r="J4" s="18"/>
    </row>
    <row r="5" customFormat="false" ht="30" hidden="false" customHeight="true" outlineLevel="0" collapsed="false">
      <c r="B5" s="19" t="n">
        <f aca="false">SUM(T1_Cleaned!$K$2:$K$301)</f>
        <v>53212.34</v>
      </c>
      <c r="C5" s="19"/>
      <c r="D5" s="19"/>
      <c r="E5" s="20" t="n">
        <f aca="false">SUM(T1_Cleaned!$N$2:$N$301)</f>
        <v>3445.82</v>
      </c>
      <c r="F5" s="20"/>
      <c r="G5" s="20"/>
      <c r="H5" s="21" t="n">
        <f aca="false">COUNTA(T1_Cleaned!$A$2:$A$301)</f>
        <v>300</v>
      </c>
      <c r="I5" s="21"/>
      <c r="J5" s="21"/>
    </row>
    <row r="24" customFormat="false" ht="15" hidden="false" customHeight="false" outlineLevel="0" collapsed="false">
      <c r="B24" s="11" t="s">
        <v>416</v>
      </c>
    </row>
    <row r="25" customFormat="false" ht="15" hidden="false" customHeight="false" outlineLevel="0" collapsed="false">
      <c r="B25" s="3" t="s">
        <v>34</v>
      </c>
      <c r="C25" s="3" t="s">
        <v>406</v>
      </c>
      <c r="D25" s="3" t="s">
        <v>417</v>
      </c>
    </row>
    <row r="26" customFormat="false" ht="15" hidden="false" customHeight="false" outlineLevel="0" collapsed="false">
      <c r="B26" s="5" t="s">
        <v>47</v>
      </c>
      <c r="C26" s="9" t="n">
        <f aca="false">SUMIFS(T1_Cleaned!$K$2:$K$301,T1_Cleaned!$I$2:$I$301,B26)</f>
        <v>17864.39</v>
      </c>
      <c r="D26" s="5" t="n">
        <f aca="false">COUNTIFS(T1_Cleaned!$I$2:$I$301,B26)</f>
        <v>91</v>
      </c>
    </row>
    <row r="27" customFormat="false" ht="15" hidden="false" customHeight="false" outlineLevel="0" collapsed="false">
      <c r="B27" s="5" t="s">
        <v>65</v>
      </c>
      <c r="C27" s="9" t="n">
        <f aca="false">SUMIFS(T1_Cleaned!$K$2:$K$301,T1_Cleaned!$I$2:$I$301,B27)</f>
        <v>8329.17</v>
      </c>
      <c r="D27" s="5" t="n">
        <f aca="false">COUNTIFS(T1_Cleaned!$I$2:$I$301,B27)</f>
        <v>107</v>
      </c>
    </row>
    <row r="28" customFormat="false" ht="15" hidden="false" customHeight="false" outlineLevel="0" collapsed="false">
      <c r="B28" s="5" t="s">
        <v>54</v>
      </c>
      <c r="C28" s="9" t="n">
        <f aca="false">SUMIFS(T1_Cleaned!$K$2:$K$301,T1_Cleaned!$I$2:$I$301,B28)</f>
        <v>27018.78</v>
      </c>
      <c r="D28" s="5" t="n">
        <f aca="false">COUNTIFS(T1_Cleaned!$I$2:$I$301,B28)</f>
        <v>102</v>
      </c>
    </row>
  </sheetData>
  <mergeCells count="7">
    <mergeCell ref="B1:J2"/>
    <mergeCell ref="B4:D4"/>
    <mergeCell ref="E4:G4"/>
    <mergeCell ref="H4:J4"/>
    <mergeCell ref="B5:D5"/>
    <mergeCell ref="E5:G5"/>
    <mergeCell ref="H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</cols>
  <sheetData>
    <row r="1" customFormat="false" ht="23.85" hidden="false" customHeight="false" outlineLevel="0" collapsed="false">
      <c r="A1" s="3" t="s">
        <v>35</v>
      </c>
      <c r="B1" s="3" t="s">
        <v>407</v>
      </c>
      <c r="D1" s="3" t="s">
        <v>418</v>
      </c>
      <c r="E1" s="3" t="s">
        <v>35</v>
      </c>
      <c r="F1" s="3" t="s">
        <v>407</v>
      </c>
    </row>
    <row r="2" customFormat="false" ht="15" hidden="false" customHeight="false" outlineLevel="0" collapsed="false">
      <c r="A2" s="5" t="s">
        <v>77</v>
      </c>
      <c r="B2" s="9" t="n">
        <f aca="false">SUMIFS(T1_Cleaned!$N$2:$N$301,T1_Cleaned!$J$2:$J$301,A2)</f>
        <v>1143.28</v>
      </c>
      <c r="D2" s="5" t="n">
        <v>1</v>
      </c>
      <c r="E2" s="5" t="str">
        <f aca="false">INDEX($A$2:$A$18,MATCH(F2,$B$2:$B$18,0))</f>
        <v>Machines</v>
      </c>
      <c r="F2" s="9" t="n">
        <f aca="false">LARGE($B$2:$B$18,D2)</f>
        <v>1654.95</v>
      </c>
    </row>
    <row r="3" customFormat="false" ht="15" hidden="false" customHeight="false" outlineLevel="0" collapsed="false">
      <c r="A3" s="5" t="s">
        <v>109</v>
      </c>
      <c r="B3" s="9" t="n">
        <f aca="false">SUMIFS(T1_Cleaned!$N$2:$N$301,T1_Cleaned!$J$2:$J$301,A3)</f>
        <v>293.4</v>
      </c>
      <c r="D3" s="5" t="n">
        <v>2</v>
      </c>
      <c r="E3" s="5" t="str">
        <f aca="false">INDEX($A$2:$A$18,MATCH(F3,$B$2:$B$18,0))</f>
        <v>Accessories</v>
      </c>
      <c r="F3" s="9" t="n">
        <f aca="false">LARGE($B$2:$B$18,D3)</f>
        <v>1143.28</v>
      </c>
    </row>
    <row r="4" customFormat="false" ht="15" hidden="false" customHeight="false" outlineLevel="0" collapsed="false">
      <c r="A4" s="5" t="s">
        <v>66</v>
      </c>
      <c r="B4" s="9" t="n">
        <f aca="false">SUMIFS(T1_Cleaned!$N$2:$N$301,T1_Cleaned!$J$2:$J$301,A4)</f>
        <v>-17.62</v>
      </c>
      <c r="D4" s="5" t="n">
        <v>3</v>
      </c>
      <c r="E4" s="5" t="str">
        <f aca="false">INDEX($A$2:$A$18,MATCH(F4,$B$2:$B$18,0))</f>
        <v>Phones</v>
      </c>
      <c r="F4" s="9" t="n">
        <f aca="false">LARGE($B$2:$B$18,D4)</f>
        <v>580.33</v>
      </c>
    </row>
    <row r="5" customFormat="false" ht="15" hidden="false" customHeight="false" outlineLevel="0" collapsed="false">
      <c r="A5" s="5" t="s">
        <v>138</v>
      </c>
      <c r="B5" s="9" t="n">
        <f aca="false">SUMIFS(T1_Cleaned!$N$2:$N$301,T1_Cleaned!$J$2:$J$301,A5)</f>
        <v>99.39</v>
      </c>
      <c r="D5" s="5" t="n">
        <v>4</v>
      </c>
      <c r="E5" s="5" t="str">
        <f aca="false">INDEX($A$2:$A$18,MATCH(F5,$B$2:$B$18,0))</f>
        <v>Paper</v>
      </c>
      <c r="F5" s="9" t="n">
        <f aca="false">LARGE($B$2:$B$18,D5)</f>
        <v>372.82</v>
      </c>
    </row>
    <row r="6" customFormat="false" ht="15" hidden="false" customHeight="false" outlineLevel="0" collapsed="false">
      <c r="A6" s="5" t="s">
        <v>86</v>
      </c>
      <c r="B6" s="9" t="n">
        <f aca="false">SUMIFS(T1_Cleaned!$N$2:$N$301,T1_Cleaned!$J$2:$J$301,A6)</f>
        <v>-595.34</v>
      </c>
      <c r="D6" s="5" t="n">
        <v>5</v>
      </c>
      <c r="E6" s="5" t="str">
        <f aca="false">INDEX($A$2:$A$18,MATCH(F6,$B$2:$B$18,0))</f>
        <v>Appliances</v>
      </c>
      <c r="F6" s="9" t="n">
        <f aca="false">LARGE($B$2:$B$18,D6)</f>
        <v>293.4</v>
      </c>
    </row>
    <row r="7" customFormat="false" ht="15" hidden="false" customHeight="false" outlineLevel="0" collapsed="false">
      <c r="A7" s="5" t="s">
        <v>48</v>
      </c>
      <c r="B7" s="9" t="n">
        <f aca="false">SUMIFS(T1_Cleaned!$N$2:$N$301,T1_Cleaned!$J$2:$J$301,A7)</f>
        <v>252.22</v>
      </c>
    </row>
    <row r="8" customFormat="false" ht="15" hidden="false" customHeight="false" outlineLevel="0" collapsed="false">
      <c r="A8" s="5" t="s">
        <v>93</v>
      </c>
      <c r="B8" s="9" t="n">
        <f aca="false">SUMIFS(T1_Cleaned!$N$2:$N$301,T1_Cleaned!$J$2:$J$301,A8)</f>
        <v>-692.74</v>
      </c>
    </row>
    <row r="9" customFormat="false" ht="15" hidden="false" customHeight="false" outlineLevel="0" collapsed="false">
      <c r="A9" s="5" t="s">
        <v>81</v>
      </c>
      <c r="B9" s="9" t="n">
        <f aca="false">SUMIFS(T1_Cleaned!$N$2:$N$301,T1_Cleaned!$J$2:$J$301,A9)</f>
        <v>134.18</v>
      </c>
    </row>
    <row r="10" customFormat="false" ht="15" hidden="false" customHeight="false" outlineLevel="0" collapsed="false">
      <c r="A10" s="5" t="s">
        <v>124</v>
      </c>
      <c r="B10" s="9" t="n">
        <f aca="false">SUMIFS(T1_Cleaned!$N$2:$N$301,T1_Cleaned!$J$2:$J$301,A10)</f>
        <v>142.53</v>
      </c>
    </row>
    <row r="11" customFormat="false" ht="15" hidden="false" customHeight="false" outlineLevel="0" collapsed="false">
      <c r="A11" s="5" t="s">
        <v>60</v>
      </c>
      <c r="B11" s="9" t="n">
        <f aca="false">SUMIFS(T1_Cleaned!$N$2:$N$301,T1_Cleaned!$J$2:$J$301,A11)</f>
        <v>-95.46</v>
      </c>
    </row>
    <row r="12" customFormat="false" ht="15" hidden="false" customHeight="false" outlineLevel="0" collapsed="false">
      <c r="A12" s="5" t="s">
        <v>122</v>
      </c>
      <c r="B12" s="9" t="n">
        <f aca="false">SUMIFS(T1_Cleaned!$N$2:$N$301,T1_Cleaned!$J$2:$J$301,A12)</f>
        <v>109.78</v>
      </c>
    </row>
    <row r="13" customFormat="false" ht="15" hidden="false" customHeight="false" outlineLevel="0" collapsed="false">
      <c r="A13" s="5" t="s">
        <v>55</v>
      </c>
      <c r="B13" s="9" t="n">
        <f aca="false">SUMIFS(T1_Cleaned!$N$2:$N$301,T1_Cleaned!$J$2:$J$301,A13)</f>
        <v>1654.95</v>
      </c>
    </row>
    <row r="14" customFormat="false" ht="15" hidden="false" customHeight="false" outlineLevel="0" collapsed="false">
      <c r="A14" s="5" t="s">
        <v>133</v>
      </c>
      <c r="B14" s="9" t="n">
        <f aca="false">SUMIFS(T1_Cleaned!$N$2:$N$301,T1_Cleaned!$J$2:$J$301,A14)</f>
        <v>372.82</v>
      </c>
    </row>
    <row r="15" customFormat="false" ht="15" hidden="false" customHeight="false" outlineLevel="0" collapsed="false">
      <c r="A15" s="5" t="s">
        <v>73</v>
      </c>
      <c r="B15" s="9" t="n">
        <f aca="false">SUMIFS(T1_Cleaned!$N$2:$N$301,T1_Cleaned!$J$2:$J$301,A15)</f>
        <v>580.33</v>
      </c>
    </row>
    <row r="16" customFormat="false" ht="15" hidden="false" customHeight="false" outlineLevel="0" collapsed="false">
      <c r="A16" s="5" t="s">
        <v>88</v>
      </c>
      <c r="B16" s="9" t="n">
        <f aca="false">SUMIFS(T1_Cleaned!$N$2:$N$301,T1_Cleaned!$J$2:$J$301,A16)</f>
        <v>133.73</v>
      </c>
    </row>
    <row r="17" customFormat="false" ht="15" hidden="false" customHeight="false" outlineLevel="0" collapsed="false">
      <c r="A17" s="5" t="s">
        <v>120</v>
      </c>
      <c r="B17" s="9" t="n">
        <f aca="false">SUMIFS(T1_Cleaned!$N$2:$N$301,T1_Cleaned!$J$2:$J$301,A17)</f>
        <v>135.87</v>
      </c>
    </row>
    <row r="18" customFormat="false" ht="15" hidden="false" customHeight="false" outlineLevel="0" collapsed="false">
      <c r="A18" s="5" t="s">
        <v>84</v>
      </c>
      <c r="B18" s="9" t="n">
        <f aca="false">SUMIFS(T1_Cleaned!$N$2:$N$301,T1_Cleaned!$J$2:$J$301,A18)</f>
        <v>-205.5</v>
      </c>
    </row>
    <row r="26" customFormat="false" ht="15" hidden="false" customHeight="false" outlineLevel="0" collapsed="false">
      <c r="D26" s="11" t="s">
        <v>419</v>
      </c>
    </row>
    <row r="27" customFormat="false" ht="15" hidden="false" customHeight="true" outlineLevel="0" collapsed="false">
      <c r="D27" s="22" t="s">
        <v>420</v>
      </c>
      <c r="E27" s="22"/>
      <c r="F27" s="22"/>
      <c r="G27" s="22"/>
      <c r="H27" s="22"/>
      <c r="I27" s="22"/>
      <c r="J27" s="22"/>
    </row>
    <row r="28" customFormat="false" ht="15" hidden="false" customHeight="false" outlineLevel="0" collapsed="false">
      <c r="D28" s="22"/>
      <c r="E28" s="22"/>
      <c r="F28" s="22"/>
      <c r="G28" s="22"/>
      <c r="H28" s="22"/>
      <c r="I28" s="22"/>
      <c r="J28" s="22"/>
    </row>
    <row r="29" customFormat="false" ht="15" hidden="false" customHeight="false" outlineLevel="0" collapsed="false">
      <c r="D29" s="22"/>
      <c r="E29" s="22"/>
      <c r="F29" s="22"/>
      <c r="G29" s="22"/>
      <c r="H29" s="22"/>
      <c r="I29" s="22"/>
      <c r="J29" s="22"/>
    </row>
    <row r="30" customFormat="false" ht="15" hidden="false" customHeight="false" outlineLevel="0" collapsed="false">
      <c r="D30" s="22"/>
      <c r="E30" s="22"/>
      <c r="F30" s="22"/>
      <c r="G30" s="22"/>
      <c r="H30" s="22"/>
      <c r="I30" s="22"/>
      <c r="J30" s="22"/>
    </row>
    <row r="31" customFormat="false" ht="15" hidden="false" customHeight="false" outlineLevel="0" collapsed="false">
      <c r="D31" s="22"/>
      <c r="E31" s="22"/>
      <c r="F31" s="22"/>
      <c r="G31" s="22"/>
      <c r="H31" s="22"/>
      <c r="I31" s="22"/>
      <c r="J31" s="22"/>
    </row>
  </sheetData>
  <mergeCells count="1">
    <mergeCell ref="D27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23" t="s">
        <v>421</v>
      </c>
    </row>
    <row r="4" customFormat="false" ht="12.8" hidden="false" customHeight="false" outlineLevel="0" collapsed="false">
      <c r="A4" s="24" t="s">
        <v>33</v>
      </c>
      <c r="B4" s="25" t="s">
        <v>422</v>
      </c>
      <c r="C4" s="26"/>
    </row>
    <row r="5" customFormat="false" ht="12.8" hidden="false" customHeight="false" outlineLevel="0" collapsed="false">
      <c r="A5" s="27" t="s">
        <v>64</v>
      </c>
      <c r="B5" s="28" t="s">
        <v>423</v>
      </c>
      <c r="C5" s="29" t="n">
        <v>13023.56</v>
      </c>
    </row>
    <row r="6" customFormat="false" ht="12.8" hidden="false" customHeight="false" outlineLevel="0" collapsed="false">
      <c r="A6" s="30"/>
      <c r="B6" s="31" t="s">
        <v>424</v>
      </c>
      <c r="C6" s="32" t="n">
        <v>1645.23</v>
      </c>
    </row>
    <row r="7" customFormat="false" ht="12.8" hidden="false" customHeight="false" outlineLevel="0" collapsed="false">
      <c r="A7" s="27" t="s">
        <v>46</v>
      </c>
      <c r="B7" s="28" t="s">
        <v>423</v>
      </c>
      <c r="C7" s="29" t="n">
        <v>9921.97</v>
      </c>
    </row>
    <row r="8" customFormat="false" ht="12.8" hidden="false" customHeight="false" outlineLevel="0" collapsed="false">
      <c r="A8" s="30"/>
      <c r="B8" s="31" t="s">
        <v>424</v>
      </c>
      <c r="C8" s="32" t="n">
        <v>1409.08</v>
      </c>
    </row>
    <row r="9" customFormat="false" ht="12.8" hidden="false" customHeight="false" outlineLevel="0" collapsed="false">
      <c r="A9" s="27" t="s">
        <v>53</v>
      </c>
      <c r="B9" s="28" t="s">
        <v>423</v>
      </c>
      <c r="C9" s="29" t="n">
        <v>16879.42</v>
      </c>
    </row>
    <row r="10" customFormat="false" ht="12.8" hidden="false" customHeight="false" outlineLevel="0" collapsed="false">
      <c r="A10" s="30"/>
      <c r="B10" s="31" t="s">
        <v>424</v>
      </c>
      <c r="C10" s="32" t="n">
        <v>-1240.82</v>
      </c>
    </row>
    <row r="11" customFormat="false" ht="12.8" hidden="false" customHeight="false" outlineLevel="0" collapsed="false">
      <c r="A11" s="27" t="s">
        <v>72</v>
      </c>
      <c r="B11" s="28" t="s">
        <v>423</v>
      </c>
      <c r="C11" s="29" t="n">
        <v>13387.39</v>
      </c>
    </row>
    <row r="12" customFormat="false" ht="12.8" hidden="false" customHeight="false" outlineLevel="0" collapsed="false">
      <c r="A12" s="30"/>
      <c r="B12" s="31" t="s">
        <v>424</v>
      </c>
      <c r="C12" s="32" t="n">
        <v>1632.33</v>
      </c>
    </row>
    <row r="13" customFormat="false" ht="12.8" hidden="false" customHeight="false" outlineLevel="0" collapsed="false">
      <c r="A13" s="33" t="s">
        <v>425</v>
      </c>
      <c r="B13" s="34"/>
      <c r="C13" s="35" t="n">
        <v>53212.34</v>
      </c>
    </row>
    <row r="14" customFormat="false" ht="12.8" hidden="false" customHeight="false" outlineLevel="0" collapsed="false">
      <c r="A14" s="36" t="s">
        <v>426</v>
      </c>
      <c r="B14" s="37"/>
      <c r="C14" s="38" t="n">
        <v>3445.82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2026-10-03T09:16:08Z</dcterms:created>
  <dc:creator>openpyxl</dc:creator>
  <dc:description/>
  <dc:language>en-US</dc:language>
  <cp:lastModifiedBy/>
  <dcterms:modified xsi:type="dcterms:W3CDTF">2026-10-03T09:16:10Z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