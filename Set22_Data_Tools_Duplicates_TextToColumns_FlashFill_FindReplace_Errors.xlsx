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Notes" sheetId="1" state="visible" r:id="rId3"/>
    <sheet name="T1_Before" sheetId="2" state="visible" r:id="rId4"/>
    <sheet name="T1_After" sheetId="3" state="visible" r:id="rId5"/>
    <sheet name="T2_Text_to_Columns" sheetId="4" state="visible" r:id="rId6"/>
    <sheet name="T3_Flash_Fill" sheetId="5" state="visible" r:id="rId7"/>
    <sheet name="T4_Find_Replace" sheetId="6" state="visible" r:id="rId8"/>
    <sheet name="T5_Before_Errors" sheetId="7" state="visible" r:id="rId9"/>
    <sheet name="T5_After_Fixe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<sst xmlns="http://schemas.openxmlformats.org/spreadsheetml/2006/main" count="293" uniqueCount="148">
  <si>
    <t xml:space="preserve">Set 22 - Remove Duplicates, Text to Columns, Flash Fill, Find &amp; Replace, Error Checking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</si>
  <si>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</si>
  <si>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</si>
  <si>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</si>
  <si>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</si>
  <si>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</si>
  <si>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</si>
  <si>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Remove Duplicates from 30 online orders.</t>
  </si>
  <si>
    <t xml:space="preserve">T1_Before / T1_After</t>
  </si>
  <si>
    <t xml:space="preserve">Select the data &gt; Data &gt; Remove Duplicates &gt; tick all columns (or Order ID only) &gt; OK. 36 rows -&gt; 30 rows (6 duplicates removed; Excel reports this in a pop-up).</t>
  </si>
  <si>
    <t xml:space="preserve">2</t>
  </si>
  <si>
    <t xml:space="preserve">Text to Columns on a delivery address (comma delimiter).</t>
  </si>
  <si>
    <t xml:space="preserve">T2_Text_to_Columns</t>
  </si>
  <si>
    <t xml:space="preserve">Select A2:A7 &gt; Data &gt; Text to Columns &gt; Delimited &gt; Next &gt; tick Comma (untick Space) &gt; Finish. Excel overwrites cells to the right, so insert 3 blank columns first. The sheet shows the same result built with formulas (SUBSTITUTE/MID) so it stays live: Flat/House No., Building Name, Street, City.</t>
  </si>
  <si>
    <t xml:space="preserve">3</t>
  </si>
  <si>
    <t xml:space="preserve">Flash Fill: username from email.</t>
  </si>
  <si>
    <t xml:space="preserve">T3_Flash_Fill</t>
  </si>
  <si>
    <t xml:space="preserve">Type the first result (rahul.patel99) in B2, then press Ctrl+E (Data &gt; Flash Fill) - Excel detects the pattern and fills the rest. Flash Fill writes static text; the sheet uses =LEFT(A2,FIND("@",A2)-1) which gives the identical result and updates automatically.</t>
  </si>
  <si>
    <t xml:space="preserve">4</t>
  </si>
  <si>
    <t xml:space="preserve">Change phone numbers starting with 98 to 99 using Find &amp; Replace with wildcards.</t>
  </si>
  <si>
    <t xml:space="preserve">T4_Find_Replace</t>
  </si>
  <si>
    <t xml:space="preserve">Important limitation: in Find &amp; Replace the wildcard * is only valid in the 'Find what' box - the 'Replace with' box treats * literally, so '98*' -&gt; '99*' would turn whole cells into the text 99*. The dependable method is a formula, used here: =IF(LEFT(A2,2)="98","99"&amp;MID(A2,3,8),A2), then Copy &gt; Paste Special &gt; Values. (If you must use Find &amp; Replace: format the column as Text, Find what '98' with 'Match entire cell contents' OFF only after confirming no number contains 98 later - not recommended.)</t>
  </si>
  <si>
    <t xml:space="preserve">5</t>
  </si>
  <si>
    <t xml:space="preserve">Use Error Checking to find and fix DIV/0 and VALUE errors in IPL player stats.</t>
  </si>
  <si>
    <t xml:space="preserve">T5_Before_Errors / T5_After_Fixed</t>
  </si>
  <si>
    <t xml:space="preserve">T5_Before_Errors deliberately contains the errors (DIV/0 error for 0 balls faced, VALUE error for text 'n/a'/'DNB' in Runs). Formulas &gt; Error Checking &gt; Next steps through them (or Go To Special &gt; Formulas &gt; Errors). T5_After_Fixed corrects the inputs and guards the formula with IF(C2=0,0,...) and IFERROR so every cell shows a valid result.</t>
  </si>
  <si>
    <t xml:space="preserve">Order ID</t>
  </si>
  <si>
    <t xml:space="preserve">Customer</t>
  </si>
  <si>
    <t xml:space="preserve">Address</t>
  </si>
  <si>
    <t xml:space="preserve">Amount</t>
  </si>
  <si>
    <t xml:space="preserve">OD1029</t>
  </si>
  <si>
    <t xml:space="preserve">Neel Parikh</t>
  </si>
  <si>
    <t xml:space="preserve">61, Green Park, Satellite Road, Ahmedabad</t>
  </si>
  <si>
    <t xml:space="preserve">OD1017</t>
  </si>
  <si>
    <t xml:space="preserve">Dev Joshi</t>
  </si>
  <si>
    <t xml:space="preserve">65, Green Park, Satellite Road, Ahmedabad</t>
  </si>
  <si>
    <t xml:space="preserve">OD1019</t>
  </si>
  <si>
    <t xml:space="preserve">42, Green Park, Satellite Road, Ahmedabad</t>
  </si>
  <si>
    <t xml:space="preserve">OD1013</t>
  </si>
  <si>
    <t xml:space="preserve">Karan Desai</t>
  </si>
  <si>
    <t xml:space="preserve">33, Green Park, Satellite Road, Ahmedabad</t>
  </si>
  <si>
    <t xml:space="preserve">OD1009</t>
  </si>
  <si>
    <t xml:space="preserve">63, Green Park, Satellite Road, Ahmedabad</t>
  </si>
  <si>
    <t xml:space="preserve">OD1022</t>
  </si>
  <si>
    <t xml:space="preserve">82, Green Park, Satellite Road, Ahmedabad</t>
  </si>
  <si>
    <t xml:space="preserve">OD1006</t>
  </si>
  <si>
    <t xml:space="preserve">80, Green Park, Satellite Road, Ahmedabad</t>
  </si>
  <si>
    <t xml:space="preserve">OD1026</t>
  </si>
  <si>
    <t xml:space="preserve">96, Green Park, Satellite Road, Ahmedabad</t>
  </si>
  <si>
    <t xml:space="preserve">OD1001</t>
  </si>
  <si>
    <t xml:space="preserve">41, Green Park, Satellite Road, Ahmedabad</t>
  </si>
  <si>
    <t xml:space="preserve">OD1008</t>
  </si>
  <si>
    <t xml:space="preserve">Aarav Shah</t>
  </si>
  <si>
    <t xml:space="preserve">85, Green Park, Satellite Road, Ahmedabad</t>
  </si>
  <si>
    <t xml:space="preserve">OD1010</t>
  </si>
  <si>
    <t xml:space="preserve">24, Green Park, Satellite Road, Ahmedabad</t>
  </si>
  <si>
    <t xml:space="preserve">OD1024</t>
  </si>
  <si>
    <t xml:space="preserve">83, Green Park, Satellite Road, Ahmedabad</t>
  </si>
  <si>
    <t xml:space="preserve">OD1016</t>
  </si>
  <si>
    <t xml:space="preserve">95, Green Park, Satellite Road, Ahmedabad</t>
  </si>
  <si>
    <t xml:space="preserve">OD1004</t>
  </si>
  <si>
    <t xml:space="preserve">Meera Patel</t>
  </si>
  <si>
    <t xml:space="preserve">39, Green Park, Satellite Road, Ahmedabad</t>
  </si>
  <si>
    <t xml:space="preserve">OD1014</t>
  </si>
  <si>
    <t xml:space="preserve">93, Green Park, Satellite Road, Ahmedabad</t>
  </si>
  <si>
    <t xml:space="preserve">OD1020</t>
  </si>
  <si>
    <t xml:space="preserve">76, Green Park, Satellite Road, Ahmedabad</t>
  </si>
  <si>
    <t xml:space="preserve">OD1015</t>
  </si>
  <si>
    <t xml:space="preserve">45, Green Park, Satellite Road, Ahmedabad</t>
  </si>
  <si>
    <t xml:space="preserve">OD1027</t>
  </si>
  <si>
    <t xml:space="preserve">21, Green Park, Satellite Road, Ahmedabad</t>
  </si>
  <si>
    <t xml:space="preserve">OD1028</t>
  </si>
  <si>
    <t xml:space="preserve">Sana Khan</t>
  </si>
  <si>
    <t xml:space="preserve">55, Green Park, Satellite Road, Ahmedabad</t>
  </si>
  <si>
    <t xml:space="preserve">OD1005</t>
  </si>
  <si>
    <t xml:space="preserve">50, Green Park, Satellite Road, Ahmedabad</t>
  </si>
  <si>
    <t xml:space="preserve">OD1018</t>
  </si>
  <si>
    <t xml:space="preserve">Isha Trivedi</t>
  </si>
  <si>
    <t xml:space="preserve">78, Green Park, Satellite Road, Ahmedabad</t>
  </si>
  <si>
    <t xml:space="preserve">OD1003</t>
  </si>
  <si>
    <t xml:space="preserve">OD1007</t>
  </si>
  <si>
    <t xml:space="preserve">16, Green Park, Satellite Road, Ahmedabad</t>
  </si>
  <si>
    <t xml:space="preserve">OD1021</t>
  </si>
  <si>
    <t xml:space="preserve">94, Green Park, Satellite Road, Ahmedabad</t>
  </si>
  <si>
    <t xml:space="preserve">OD1030</t>
  </si>
  <si>
    <t xml:space="preserve">Riya Mehta</t>
  </si>
  <si>
    <t xml:space="preserve">75, Green Park, Satellite Road, Ahmedabad</t>
  </si>
  <si>
    <t xml:space="preserve">OD1011</t>
  </si>
  <si>
    <t xml:space="preserve">Yash Bhatt</t>
  </si>
  <si>
    <t xml:space="preserve">OD1012</t>
  </si>
  <si>
    <t xml:space="preserve">88, Green Park, Satellite Road, Ahmedabad</t>
  </si>
  <si>
    <t xml:space="preserve">OD1023</t>
  </si>
  <si>
    <t xml:space="preserve">84, Green Park, Satellite Road, Ahmedabad</t>
  </si>
  <si>
    <t xml:space="preserve">OD1025</t>
  </si>
  <si>
    <t xml:space="preserve">79, Green Park, Satellite Road, Ahmedabad</t>
  </si>
  <si>
    <t xml:space="preserve">OD1002</t>
  </si>
  <si>
    <t xml:space="preserve">Pooja Rana</t>
  </si>
  <si>
    <t xml:space="preserve">67, Green Park, Satellite Road, Ahmedabad</t>
  </si>
  <si>
    <t xml:space="preserve">Rows before</t>
  </si>
  <si>
    <t xml:space="preserve">Rows after</t>
  </si>
  <si>
    <t xml:space="preserve">Duplicates removed</t>
  </si>
  <si>
    <t xml:space="preserve">Delivery address</t>
  </si>
  <si>
    <t xml:space="preserve">Flat/House No.</t>
  </si>
  <si>
    <t xml:space="preserve">Building Name</t>
  </si>
  <si>
    <t xml:space="preserve">Street</t>
  </si>
  <si>
    <t xml:space="preserve">City</t>
  </si>
  <si>
    <t xml:space="preserve">Flat 12B, Sunrise Apartments, SG Highway, Ahmedabad</t>
  </si>
  <si>
    <t xml:space="preserve">Flat 4A, Shreeji Heights, Ring Road, Surat</t>
  </si>
  <si>
    <t xml:space="preserve">House 22, Green Villa, Alkapuri, Vadodara</t>
  </si>
  <si>
    <t xml:space="preserve">Flat 301, Royal Residency, 150 Feet Road, Rajkot</t>
  </si>
  <si>
    <t xml:space="preserve">Flat 8C, Lake View, Baner Road, Pune</t>
  </si>
  <si>
    <t xml:space="preserve">Flat 15, Sea Breeze, Marine Drive, Mumbai</t>
  </si>
  <si>
    <t xml:space="preserve">Email</t>
  </si>
  <si>
    <t xml:space="preserve">Username</t>
  </si>
  <si>
    <t xml:space="preserve">rahul.patel99@gmail.com</t>
  </si>
  <si>
    <t xml:space="preserve">sneha_shah21@gmail.com</t>
  </si>
  <si>
    <t xml:space="preserve">kunal.mehta@gmail.com</t>
  </si>
  <si>
    <t xml:space="preserve">pooja.rana07@gmail.com</t>
  </si>
  <si>
    <t xml:space="preserve">arjun.s1998@gmail.com</t>
  </si>
  <si>
    <t xml:space="preserve">nisha.verma@gmail.com</t>
  </si>
  <si>
    <t xml:space="preserve">Phone (before)</t>
  </si>
  <si>
    <t xml:space="preserve">Phone (after: 98.. -&gt; 99..)</t>
  </si>
  <si>
    <t xml:space="preserve">9876543210</t>
  </si>
  <si>
    <t xml:space="preserve">9812345678</t>
  </si>
  <si>
    <t xml:space="preserve">9712345098</t>
  </si>
  <si>
    <t xml:space="preserve">9898989898</t>
  </si>
  <si>
    <t xml:space="preserve">8765432109</t>
  </si>
  <si>
    <t xml:space="preserve">9998887776</t>
  </si>
  <si>
    <t xml:space="preserve">9845012345</t>
  </si>
  <si>
    <t xml:space="preserve">7698543210</t>
  </si>
  <si>
    <t xml:space="preserve">9801122334</t>
  </si>
  <si>
    <t xml:space="preserve">9123456789</t>
  </si>
  <si>
    <t xml:space="preserve">Player</t>
  </si>
  <si>
    <t xml:space="preserve">Runs</t>
  </si>
  <si>
    <t xml:space="preserve">Balls</t>
  </si>
  <si>
    <t xml:space="preserve">Strike rate</t>
  </si>
  <si>
    <t xml:space="preserve">Runs per ball x 100 check</t>
  </si>
  <si>
    <t xml:space="preserve">Intentional errors: DIV/0 errors where Balls = 0, VALUE errors where Runs is text. Use Formulas &gt; Error Checking to locate them.</t>
  </si>
  <si>
    <t xml:space="preserve">Virat Kohli</t>
  </si>
  <si>
    <t xml:space="preserve">Rohit Sharma</t>
  </si>
  <si>
    <t xml:space="preserve">Shubman Gill</t>
  </si>
  <si>
    <t xml:space="preserve">n/a</t>
  </si>
  <si>
    <t xml:space="preserve">KL Rahul</t>
  </si>
  <si>
    <t xml:space="preserve">Hardik Pandya</t>
  </si>
  <si>
    <t xml:space="preserve">Rinku Singh</t>
  </si>
  <si>
    <t xml:space="preserve">DNB</t>
  </si>
  <si>
    <t xml:space="preserve">Ruturaj Gaikwad</t>
  </si>
  <si>
    <t xml:space="preserve">Fix: text runs replaced by 0 (did not bat) and formula wrapped as =IFERROR(IF(C2=0,0,B2/C2*100),0).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</si>
</sst>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35.0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23.8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46.2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35.0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4" min="4" style="0" width="9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</row>
    <row r="2" customFormat="false" ht="15" hidden="false" customHeight="false" outlineLevel="0" collapsed="false">
      <c r="A2" s="5" t="s">
        <v>30</v>
      </c>
      <c r="B2" s="5" t="s">
        <v>31</v>
      </c>
      <c r="C2" s="5" t="s">
        <v>32</v>
      </c>
      <c r="D2" s="5" t="n">
        <v>340</v>
      </c>
    </row>
    <row r="3" customFormat="false" ht="15" hidden="false" customHeight="false" outlineLevel="0" collapsed="false">
      <c r="A3" s="5" t="s">
        <v>33</v>
      </c>
      <c r="B3" s="5" t="s">
        <v>34</v>
      </c>
      <c r="C3" s="5" t="s">
        <v>35</v>
      </c>
      <c r="D3" s="5" t="n">
        <v>320</v>
      </c>
    </row>
    <row r="4" customFormat="false" ht="15" hidden="false" customHeight="false" outlineLevel="0" collapsed="false">
      <c r="A4" s="5" t="s">
        <v>36</v>
      </c>
      <c r="B4" s="5" t="s">
        <v>31</v>
      </c>
      <c r="C4" s="5" t="s">
        <v>37</v>
      </c>
      <c r="D4" s="5" t="n">
        <v>1490</v>
      </c>
    </row>
    <row r="5" customFormat="false" ht="15" hidden="false" customHeight="false" outlineLevel="0" collapsed="false">
      <c r="A5" s="5" t="s">
        <v>38</v>
      </c>
      <c r="B5" s="5" t="s">
        <v>39</v>
      </c>
      <c r="C5" s="5" t="s">
        <v>40</v>
      </c>
      <c r="D5" s="5" t="n">
        <v>1200</v>
      </c>
    </row>
    <row r="6" customFormat="false" ht="15" hidden="false" customHeight="false" outlineLevel="0" collapsed="false">
      <c r="A6" s="5" t="s">
        <v>41</v>
      </c>
      <c r="B6" s="5" t="s">
        <v>39</v>
      </c>
      <c r="C6" s="5" t="s">
        <v>42</v>
      </c>
      <c r="D6" s="5" t="n">
        <v>680</v>
      </c>
    </row>
    <row r="7" customFormat="false" ht="15" hidden="false" customHeight="false" outlineLevel="0" collapsed="false">
      <c r="A7" s="5" t="s">
        <v>43</v>
      </c>
      <c r="B7" s="5" t="s">
        <v>39</v>
      </c>
      <c r="C7" s="5" t="s">
        <v>44</v>
      </c>
      <c r="D7" s="5" t="n">
        <v>1150</v>
      </c>
    </row>
    <row r="8" customFormat="false" ht="15" hidden="false" customHeight="false" outlineLevel="0" collapsed="false">
      <c r="A8" s="5" t="s">
        <v>45</v>
      </c>
      <c r="B8" s="5" t="s">
        <v>34</v>
      </c>
      <c r="C8" s="5" t="s">
        <v>46</v>
      </c>
      <c r="D8" s="5" t="n">
        <v>1950</v>
      </c>
    </row>
    <row r="9" customFormat="false" ht="15" hidden="false" customHeight="false" outlineLevel="0" collapsed="false">
      <c r="A9" s="5" t="s">
        <v>38</v>
      </c>
      <c r="B9" s="5" t="s">
        <v>39</v>
      </c>
      <c r="C9" s="5" t="s">
        <v>40</v>
      </c>
      <c r="D9" s="5" t="n">
        <v>1200</v>
      </c>
    </row>
    <row r="10" customFormat="false" ht="15" hidden="false" customHeight="false" outlineLevel="0" collapsed="false">
      <c r="A10" s="5" t="s">
        <v>47</v>
      </c>
      <c r="B10" s="5" t="s">
        <v>31</v>
      </c>
      <c r="C10" s="5" t="s">
        <v>48</v>
      </c>
      <c r="D10" s="5" t="n">
        <v>1550</v>
      </c>
    </row>
    <row r="11" customFormat="false" ht="15" hidden="false" customHeight="false" outlineLevel="0" collapsed="false">
      <c r="A11" s="5" t="s">
        <v>49</v>
      </c>
      <c r="B11" s="5" t="s">
        <v>34</v>
      </c>
      <c r="C11" s="5" t="s">
        <v>50</v>
      </c>
      <c r="D11" s="5" t="n">
        <v>260</v>
      </c>
    </row>
    <row r="12" customFormat="false" ht="15" hidden="false" customHeight="false" outlineLevel="0" collapsed="false">
      <c r="A12" s="5" t="s">
        <v>51</v>
      </c>
      <c r="B12" s="5" t="s">
        <v>52</v>
      </c>
      <c r="C12" s="5" t="s">
        <v>53</v>
      </c>
      <c r="D12" s="5" t="n">
        <v>870</v>
      </c>
    </row>
    <row r="13" customFormat="false" ht="15" hidden="false" customHeight="false" outlineLevel="0" collapsed="false">
      <c r="A13" s="5" t="s">
        <v>54</v>
      </c>
      <c r="B13" s="5" t="s">
        <v>34</v>
      </c>
      <c r="C13" s="5" t="s">
        <v>55</v>
      </c>
      <c r="D13" s="5" t="n">
        <v>1690</v>
      </c>
    </row>
    <row r="14" customFormat="false" ht="15" hidden="false" customHeight="false" outlineLevel="0" collapsed="false">
      <c r="A14" s="5" t="s">
        <v>56</v>
      </c>
      <c r="B14" s="5" t="s">
        <v>39</v>
      </c>
      <c r="C14" s="5" t="s">
        <v>57</v>
      </c>
      <c r="D14" s="5" t="n">
        <v>1720</v>
      </c>
    </row>
    <row r="15" customFormat="false" ht="15" hidden="false" customHeight="false" outlineLevel="0" collapsed="false">
      <c r="A15" s="5" t="s">
        <v>58</v>
      </c>
      <c r="B15" s="5" t="s">
        <v>39</v>
      </c>
      <c r="C15" s="5" t="s">
        <v>59</v>
      </c>
      <c r="D15" s="5" t="n">
        <v>1970</v>
      </c>
    </row>
    <row r="16" customFormat="false" ht="15" hidden="false" customHeight="false" outlineLevel="0" collapsed="false">
      <c r="A16" s="5" t="s">
        <v>60</v>
      </c>
      <c r="B16" s="5" t="s">
        <v>61</v>
      </c>
      <c r="C16" s="5" t="s">
        <v>62</v>
      </c>
      <c r="D16" s="5" t="n">
        <v>880</v>
      </c>
    </row>
    <row r="17" customFormat="false" ht="15" hidden="false" customHeight="false" outlineLevel="0" collapsed="false">
      <c r="A17" s="5" t="s">
        <v>63</v>
      </c>
      <c r="B17" s="5" t="s">
        <v>39</v>
      </c>
      <c r="C17" s="5" t="s">
        <v>64</v>
      </c>
      <c r="D17" s="5" t="n">
        <v>1510</v>
      </c>
    </row>
    <row r="18" customFormat="false" ht="15" hidden="false" customHeight="false" outlineLevel="0" collapsed="false">
      <c r="A18" s="5" t="s">
        <v>65</v>
      </c>
      <c r="B18" s="5" t="s">
        <v>39</v>
      </c>
      <c r="C18" s="5" t="s">
        <v>66</v>
      </c>
      <c r="D18" s="5" t="n">
        <v>1240</v>
      </c>
    </row>
    <row r="19" customFormat="false" ht="15" hidden="false" customHeight="false" outlineLevel="0" collapsed="false">
      <c r="A19" s="5" t="s">
        <v>67</v>
      </c>
      <c r="B19" s="5" t="s">
        <v>34</v>
      </c>
      <c r="C19" s="5" t="s">
        <v>68</v>
      </c>
      <c r="D19" s="5" t="n">
        <v>2310</v>
      </c>
    </row>
    <row r="20" customFormat="false" ht="15" hidden="false" customHeight="false" outlineLevel="0" collapsed="false">
      <c r="A20" s="5" t="s">
        <v>60</v>
      </c>
      <c r="B20" s="5" t="s">
        <v>61</v>
      </c>
      <c r="C20" s="5" t="s">
        <v>62</v>
      </c>
      <c r="D20" s="5" t="n">
        <v>880</v>
      </c>
    </row>
    <row r="21" customFormat="false" ht="15" hidden="false" customHeight="false" outlineLevel="0" collapsed="false">
      <c r="A21" s="5" t="s">
        <v>69</v>
      </c>
      <c r="B21" s="5" t="s">
        <v>31</v>
      </c>
      <c r="C21" s="5" t="s">
        <v>70</v>
      </c>
      <c r="D21" s="5" t="n">
        <v>430</v>
      </c>
    </row>
    <row r="22" customFormat="false" ht="15" hidden="false" customHeight="false" outlineLevel="0" collapsed="false">
      <c r="A22" s="5" t="s">
        <v>71</v>
      </c>
      <c r="B22" s="5" t="s">
        <v>72</v>
      </c>
      <c r="C22" s="5" t="s">
        <v>73</v>
      </c>
      <c r="D22" s="5" t="n">
        <v>450</v>
      </c>
    </row>
    <row r="23" customFormat="false" ht="15" hidden="false" customHeight="false" outlineLevel="0" collapsed="false">
      <c r="A23" s="5" t="s">
        <v>74</v>
      </c>
      <c r="B23" s="5" t="s">
        <v>52</v>
      </c>
      <c r="C23" s="5" t="s">
        <v>75</v>
      </c>
      <c r="D23" s="5" t="n">
        <v>1730</v>
      </c>
    </row>
    <row r="24" customFormat="false" ht="15" hidden="false" customHeight="false" outlineLevel="0" collapsed="false">
      <c r="A24" s="5" t="s">
        <v>76</v>
      </c>
      <c r="B24" s="5" t="s">
        <v>77</v>
      </c>
      <c r="C24" s="5" t="s">
        <v>78</v>
      </c>
      <c r="D24" s="5" t="n">
        <v>280</v>
      </c>
    </row>
    <row r="25" customFormat="false" ht="15" hidden="false" customHeight="false" outlineLevel="0" collapsed="false">
      <c r="A25" s="5" t="s">
        <v>79</v>
      </c>
      <c r="B25" s="5" t="s">
        <v>61</v>
      </c>
      <c r="C25" s="5" t="s">
        <v>64</v>
      </c>
      <c r="D25" s="5" t="n">
        <v>1080</v>
      </c>
    </row>
    <row r="26" customFormat="false" ht="15" hidden="false" customHeight="false" outlineLevel="0" collapsed="false">
      <c r="A26" s="5" t="s">
        <v>45</v>
      </c>
      <c r="B26" s="5" t="s">
        <v>34</v>
      </c>
      <c r="C26" s="5" t="s">
        <v>46</v>
      </c>
      <c r="D26" s="5" t="n">
        <v>1950</v>
      </c>
    </row>
    <row r="27" customFormat="false" ht="15" hidden="false" customHeight="false" outlineLevel="0" collapsed="false">
      <c r="A27" s="5" t="s">
        <v>67</v>
      </c>
      <c r="B27" s="5" t="s">
        <v>34</v>
      </c>
      <c r="C27" s="5" t="s">
        <v>68</v>
      </c>
      <c r="D27" s="5" t="n">
        <v>2310</v>
      </c>
    </row>
    <row r="28" customFormat="false" ht="15" hidden="false" customHeight="false" outlineLevel="0" collapsed="false">
      <c r="A28" s="5" t="s">
        <v>80</v>
      </c>
      <c r="B28" s="5" t="s">
        <v>31</v>
      </c>
      <c r="C28" s="5" t="s">
        <v>81</v>
      </c>
      <c r="D28" s="5" t="n">
        <v>1670</v>
      </c>
    </row>
    <row r="29" customFormat="false" ht="15" hidden="false" customHeight="false" outlineLevel="0" collapsed="false">
      <c r="A29" s="5" t="s">
        <v>82</v>
      </c>
      <c r="B29" s="5" t="s">
        <v>31</v>
      </c>
      <c r="C29" s="5" t="s">
        <v>83</v>
      </c>
      <c r="D29" s="5" t="n">
        <v>670</v>
      </c>
    </row>
    <row r="30" customFormat="false" ht="15" hidden="false" customHeight="false" outlineLevel="0" collapsed="false">
      <c r="A30" s="5" t="s">
        <v>49</v>
      </c>
      <c r="B30" s="5" t="s">
        <v>34</v>
      </c>
      <c r="C30" s="5" t="s">
        <v>50</v>
      </c>
      <c r="D30" s="5" t="n">
        <v>260</v>
      </c>
    </row>
    <row r="31" customFormat="false" ht="15" hidden="false" customHeight="false" outlineLevel="0" collapsed="false">
      <c r="A31" s="5" t="s">
        <v>84</v>
      </c>
      <c r="B31" s="5" t="s">
        <v>85</v>
      </c>
      <c r="C31" s="5" t="s">
        <v>86</v>
      </c>
      <c r="D31" s="5" t="n">
        <v>810</v>
      </c>
    </row>
    <row r="32" customFormat="false" ht="15" hidden="false" customHeight="false" outlineLevel="0" collapsed="false">
      <c r="A32" s="5" t="s">
        <v>87</v>
      </c>
      <c r="B32" s="5" t="s">
        <v>88</v>
      </c>
      <c r="C32" s="5" t="s">
        <v>44</v>
      </c>
      <c r="D32" s="5" t="n">
        <v>350</v>
      </c>
    </row>
    <row r="33" customFormat="false" ht="15" hidden="false" customHeight="false" outlineLevel="0" collapsed="false">
      <c r="A33" s="5" t="s">
        <v>89</v>
      </c>
      <c r="B33" s="5" t="s">
        <v>77</v>
      </c>
      <c r="C33" s="5" t="s">
        <v>90</v>
      </c>
      <c r="D33" s="5" t="n">
        <v>1050</v>
      </c>
    </row>
    <row r="34" customFormat="false" ht="15" hidden="false" customHeight="false" outlineLevel="0" collapsed="false">
      <c r="A34" s="5" t="s">
        <v>91</v>
      </c>
      <c r="B34" s="5" t="s">
        <v>31</v>
      </c>
      <c r="C34" s="5" t="s">
        <v>92</v>
      </c>
      <c r="D34" s="5" t="n">
        <v>260</v>
      </c>
    </row>
    <row r="35" customFormat="false" ht="15" hidden="false" customHeight="false" outlineLevel="0" collapsed="false">
      <c r="A35" s="5" t="s">
        <v>93</v>
      </c>
      <c r="B35" s="5" t="s">
        <v>88</v>
      </c>
      <c r="C35" s="5" t="s">
        <v>94</v>
      </c>
      <c r="D35" s="5" t="n">
        <v>1540</v>
      </c>
    </row>
    <row r="36" customFormat="false" ht="15" hidden="false" customHeight="false" outlineLevel="0" collapsed="false">
      <c r="A36" s="5" t="s">
        <v>80</v>
      </c>
      <c r="B36" s="5" t="s">
        <v>31</v>
      </c>
      <c r="C36" s="5" t="s">
        <v>81</v>
      </c>
      <c r="D36" s="5" t="n">
        <v>1670</v>
      </c>
    </row>
    <row r="37" customFormat="false" ht="15" hidden="false" customHeight="false" outlineLevel="0" collapsed="false">
      <c r="A37" s="5" t="s">
        <v>95</v>
      </c>
      <c r="B37" s="5" t="s">
        <v>96</v>
      </c>
      <c r="C37" s="5" t="s">
        <v>97</v>
      </c>
      <c r="D37" s="5" t="n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4" min="4" style="0" width="9"/>
    <col collapsed="false" customWidth="true" hidden="false" outlineLevel="0" max="6" min="6" style="0" width="21"/>
    <col collapsed="false" customWidth="true" hidden="false" outlineLevel="0" max="7" min="7" style="0" width="17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F1" s="6" t="s">
        <v>98</v>
      </c>
      <c r="G1" s="6" t="n">
        <f aca="false">COUNTA(T1_Before!A2:A37)</f>
        <v>36</v>
      </c>
    </row>
    <row r="2" customFormat="false" ht="15" hidden="false" customHeight="false" outlineLevel="0" collapsed="false">
      <c r="A2" s="5" t="s">
        <v>30</v>
      </c>
      <c r="B2" s="5" t="s">
        <v>31</v>
      </c>
      <c r="C2" s="5" t="s">
        <v>32</v>
      </c>
      <c r="D2" s="5" t="n">
        <v>340</v>
      </c>
      <c r="F2" s="6" t="s">
        <v>99</v>
      </c>
      <c r="G2" s="6" t="n">
        <f aca="false">COUNTA(A2:A31)</f>
        <v>30</v>
      </c>
    </row>
    <row r="3" customFormat="false" ht="15" hidden="false" customHeight="false" outlineLevel="0" collapsed="false">
      <c r="A3" s="5" t="s">
        <v>33</v>
      </c>
      <c r="B3" s="5" t="s">
        <v>34</v>
      </c>
      <c r="C3" s="5" t="s">
        <v>35</v>
      </c>
      <c r="D3" s="5" t="n">
        <v>320</v>
      </c>
      <c r="F3" s="6" t="s">
        <v>100</v>
      </c>
      <c r="G3" s="6" t="n">
        <f aca="false">G1-G2</f>
        <v>6</v>
      </c>
    </row>
    <row r="4" customFormat="false" ht="15" hidden="false" customHeight="false" outlineLevel="0" collapsed="false">
      <c r="A4" s="5" t="s">
        <v>36</v>
      </c>
      <c r="B4" s="5" t="s">
        <v>31</v>
      </c>
      <c r="C4" s="5" t="s">
        <v>37</v>
      </c>
      <c r="D4" s="5" t="n">
        <v>1490</v>
      </c>
    </row>
    <row r="5" customFormat="false" ht="15" hidden="false" customHeight="false" outlineLevel="0" collapsed="false">
      <c r="A5" s="5" t="s">
        <v>38</v>
      </c>
      <c r="B5" s="5" t="s">
        <v>39</v>
      </c>
      <c r="C5" s="5" t="s">
        <v>40</v>
      </c>
      <c r="D5" s="5" t="n">
        <v>1200</v>
      </c>
    </row>
    <row r="6" customFormat="false" ht="15" hidden="false" customHeight="false" outlineLevel="0" collapsed="false">
      <c r="A6" s="5" t="s">
        <v>41</v>
      </c>
      <c r="B6" s="5" t="s">
        <v>39</v>
      </c>
      <c r="C6" s="5" t="s">
        <v>42</v>
      </c>
      <c r="D6" s="5" t="n">
        <v>680</v>
      </c>
    </row>
    <row r="7" customFormat="false" ht="15" hidden="false" customHeight="false" outlineLevel="0" collapsed="false">
      <c r="A7" s="5" t="s">
        <v>43</v>
      </c>
      <c r="B7" s="5" t="s">
        <v>39</v>
      </c>
      <c r="C7" s="5" t="s">
        <v>44</v>
      </c>
      <c r="D7" s="5" t="n">
        <v>1150</v>
      </c>
    </row>
    <row r="8" customFormat="false" ht="15" hidden="false" customHeight="false" outlineLevel="0" collapsed="false">
      <c r="A8" s="5" t="s">
        <v>45</v>
      </c>
      <c r="B8" s="5" t="s">
        <v>34</v>
      </c>
      <c r="C8" s="5" t="s">
        <v>46</v>
      </c>
      <c r="D8" s="5" t="n">
        <v>1950</v>
      </c>
    </row>
    <row r="9" customFormat="false" ht="15" hidden="false" customHeight="false" outlineLevel="0" collapsed="false">
      <c r="A9" s="5" t="s">
        <v>47</v>
      </c>
      <c r="B9" s="5" t="s">
        <v>31</v>
      </c>
      <c r="C9" s="5" t="s">
        <v>48</v>
      </c>
      <c r="D9" s="5" t="n">
        <v>1550</v>
      </c>
    </row>
    <row r="10" customFormat="false" ht="15" hidden="false" customHeight="false" outlineLevel="0" collapsed="false">
      <c r="A10" s="5" t="s">
        <v>49</v>
      </c>
      <c r="B10" s="5" t="s">
        <v>34</v>
      </c>
      <c r="C10" s="5" t="s">
        <v>50</v>
      </c>
      <c r="D10" s="5" t="n">
        <v>260</v>
      </c>
    </row>
    <row r="11" customFormat="false" ht="15" hidden="false" customHeight="false" outlineLevel="0" collapsed="false">
      <c r="A11" s="5" t="s">
        <v>51</v>
      </c>
      <c r="B11" s="5" t="s">
        <v>52</v>
      </c>
      <c r="C11" s="5" t="s">
        <v>53</v>
      </c>
      <c r="D11" s="5" t="n">
        <v>870</v>
      </c>
    </row>
    <row r="12" customFormat="false" ht="15" hidden="false" customHeight="false" outlineLevel="0" collapsed="false">
      <c r="A12" s="5" t="s">
        <v>54</v>
      </c>
      <c r="B12" s="5" t="s">
        <v>34</v>
      </c>
      <c r="C12" s="5" t="s">
        <v>55</v>
      </c>
      <c r="D12" s="5" t="n">
        <v>1690</v>
      </c>
    </row>
    <row r="13" customFormat="false" ht="15" hidden="false" customHeight="false" outlineLevel="0" collapsed="false">
      <c r="A13" s="5" t="s">
        <v>56</v>
      </c>
      <c r="B13" s="5" t="s">
        <v>39</v>
      </c>
      <c r="C13" s="5" t="s">
        <v>57</v>
      </c>
      <c r="D13" s="5" t="n">
        <v>1720</v>
      </c>
    </row>
    <row r="14" customFormat="false" ht="15" hidden="false" customHeight="false" outlineLevel="0" collapsed="false">
      <c r="A14" s="5" t="s">
        <v>58</v>
      </c>
      <c r="B14" s="5" t="s">
        <v>39</v>
      </c>
      <c r="C14" s="5" t="s">
        <v>59</v>
      </c>
      <c r="D14" s="5" t="n">
        <v>1970</v>
      </c>
    </row>
    <row r="15" customFormat="false" ht="15" hidden="false" customHeight="false" outlineLevel="0" collapsed="false">
      <c r="A15" s="5" t="s">
        <v>60</v>
      </c>
      <c r="B15" s="5" t="s">
        <v>61</v>
      </c>
      <c r="C15" s="5" t="s">
        <v>62</v>
      </c>
      <c r="D15" s="5" t="n">
        <v>880</v>
      </c>
    </row>
    <row r="16" customFormat="false" ht="15" hidden="false" customHeight="false" outlineLevel="0" collapsed="false">
      <c r="A16" s="5" t="s">
        <v>63</v>
      </c>
      <c r="B16" s="5" t="s">
        <v>39</v>
      </c>
      <c r="C16" s="5" t="s">
        <v>64</v>
      </c>
      <c r="D16" s="5" t="n">
        <v>1510</v>
      </c>
    </row>
    <row r="17" customFormat="false" ht="15" hidden="false" customHeight="false" outlineLevel="0" collapsed="false">
      <c r="A17" s="5" t="s">
        <v>65</v>
      </c>
      <c r="B17" s="5" t="s">
        <v>39</v>
      </c>
      <c r="C17" s="5" t="s">
        <v>66</v>
      </c>
      <c r="D17" s="5" t="n">
        <v>1240</v>
      </c>
    </row>
    <row r="18" customFormat="false" ht="15" hidden="false" customHeight="false" outlineLevel="0" collapsed="false">
      <c r="A18" s="5" t="s">
        <v>67</v>
      </c>
      <c r="B18" s="5" t="s">
        <v>34</v>
      </c>
      <c r="C18" s="5" t="s">
        <v>68</v>
      </c>
      <c r="D18" s="5" t="n">
        <v>2310</v>
      </c>
    </row>
    <row r="19" customFormat="false" ht="15" hidden="false" customHeight="false" outlineLevel="0" collapsed="false">
      <c r="A19" s="5" t="s">
        <v>69</v>
      </c>
      <c r="B19" s="5" t="s">
        <v>31</v>
      </c>
      <c r="C19" s="5" t="s">
        <v>70</v>
      </c>
      <c r="D19" s="5" t="n">
        <v>430</v>
      </c>
    </row>
    <row r="20" customFormat="false" ht="15" hidden="false" customHeight="false" outlineLevel="0" collapsed="false">
      <c r="A20" s="5" t="s">
        <v>71</v>
      </c>
      <c r="B20" s="5" t="s">
        <v>72</v>
      </c>
      <c r="C20" s="5" t="s">
        <v>73</v>
      </c>
      <c r="D20" s="5" t="n">
        <v>450</v>
      </c>
    </row>
    <row r="21" customFormat="false" ht="15" hidden="false" customHeight="false" outlineLevel="0" collapsed="false">
      <c r="A21" s="5" t="s">
        <v>74</v>
      </c>
      <c r="B21" s="5" t="s">
        <v>52</v>
      </c>
      <c r="C21" s="5" t="s">
        <v>75</v>
      </c>
      <c r="D21" s="5" t="n">
        <v>1730</v>
      </c>
    </row>
    <row r="22" customFormat="false" ht="15" hidden="false" customHeight="false" outlineLevel="0" collapsed="false">
      <c r="A22" s="5" t="s">
        <v>76</v>
      </c>
      <c r="B22" s="5" t="s">
        <v>77</v>
      </c>
      <c r="C22" s="5" t="s">
        <v>78</v>
      </c>
      <c r="D22" s="5" t="n">
        <v>280</v>
      </c>
    </row>
    <row r="23" customFormat="false" ht="15" hidden="false" customHeight="false" outlineLevel="0" collapsed="false">
      <c r="A23" s="5" t="s">
        <v>79</v>
      </c>
      <c r="B23" s="5" t="s">
        <v>61</v>
      </c>
      <c r="C23" s="5" t="s">
        <v>64</v>
      </c>
      <c r="D23" s="5" t="n">
        <v>1080</v>
      </c>
    </row>
    <row r="24" customFormat="false" ht="15" hidden="false" customHeight="false" outlineLevel="0" collapsed="false">
      <c r="A24" s="5" t="s">
        <v>80</v>
      </c>
      <c r="B24" s="5" t="s">
        <v>31</v>
      </c>
      <c r="C24" s="5" t="s">
        <v>81</v>
      </c>
      <c r="D24" s="5" t="n">
        <v>1670</v>
      </c>
    </row>
    <row r="25" customFormat="false" ht="15" hidden="false" customHeight="false" outlineLevel="0" collapsed="false">
      <c r="A25" s="5" t="s">
        <v>82</v>
      </c>
      <c r="B25" s="5" t="s">
        <v>31</v>
      </c>
      <c r="C25" s="5" t="s">
        <v>83</v>
      </c>
      <c r="D25" s="5" t="n">
        <v>670</v>
      </c>
    </row>
    <row r="26" customFormat="false" ht="15" hidden="false" customHeight="false" outlineLevel="0" collapsed="false">
      <c r="A26" s="5" t="s">
        <v>84</v>
      </c>
      <c r="B26" s="5" t="s">
        <v>85</v>
      </c>
      <c r="C26" s="5" t="s">
        <v>86</v>
      </c>
      <c r="D26" s="5" t="n">
        <v>810</v>
      </c>
    </row>
    <row r="27" customFormat="false" ht="15" hidden="false" customHeight="false" outlineLevel="0" collapsed="false">
      <c r="A27" s="5" t="s">
        <v>87</v>
      </c>
      <c r="B27" s="5" t="s">
        <v>88</v>
      </c>
      <c r="C27" s="5" t="s">
        <v>44</v>
      </c>
      <c r="D27" s="5" t="n">
        <v>350</v>
      </c>
    </row>
    <row r="28" customFormat="false" ht="15" hidden="false" customHeight="false" outlineLevel="0" collapsed="false">
      <c r="A28" s="5" t="s">
        <v>89</v>
      </c>
      <c r="B28" s="5" t="s">
        <v>77</v>
      </c>
      <c r="C28" s="5" t="s">
        <v>90</v>
      </c>
      <c r="D28" s="5" t="n">
        <v>1050</v>
      </c>
    </row>
    <row r="29" customFormat="false" ht="15" hidden="false" customHeight="false" outlineLevel="0" collapsed="false">
      <c r="A29" s="5" t="s">
        <v>91</v>
      </c>
      <c r="B29" s="5" t="s">
        <v>31</v>
      </c>
      <c r="C29" s="5" t="s">
        <v>92</v>
      </c>
      <c r="D29" s="5" t="n">
        <v>260</v>
      </c>
    </row>
    <row r="30" customFormat="false" ht="15" hidden="false" customHeight="false" outlineLevel="0" collapsed="false">
      <c r="A30" s="5" t="s">
        <v>93</v>
      </c>
      <c r="B30" s="5" t="s">
        <v>88</v>
      </c>
      <c r="C30" s="5" t="s">
        <v>94</v>
      </c>
      <c r="D30" s="5" t="n">
        <v>1540</v>
      </c>
    </row>
    <row r="31" customFormat="false" ht="15" hidden="false" customHeight="false" outlineLevel="0" collapsed="false">
      <c r="A31" s="5" t="s">
        <v>95</v>
      </c>
      <c r="B31" s="5" t="s">
        <v>96</v>
      </c>
      <c r="C31" s="5" t="s">
        <v>97</v>
      </c>
      <c r="D31" s="5" t="n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5" min="2" style="0" width="17"/>
  </cols>
  <sheetData>
    <row r="1" customFormat="false" ht="15" hidden="false" customHeight="false" outlineLevel="0" collapsed="false">
      <c r="A1" s="3" t="s">
        <v>101</v>
      </c>
      <c r="B1" s="3" t="s">
        <v>102</v>
      </c>
      <c r="C1" s="3" t="s">
        <v>103</v>
      </c>
      <c r="D1" s="3" t="s">
        <v>104</v>
      </c>
      <c r="E1" s="3" t="s">
        <v>105</v>
      </c>
    </row>
    <row r="2" customFormat="false" ht="15" hidden="false" customHeight="false" outlineLevel="0" collapsed="false">
      <c r="A2" s="5" t="s">
        <v>106</v>
      </c>
      <c r="B2" s="5" t="str">
        <f aca="false">TRIM(MID(SUBSTITUTE($A2,",",REPT(" ",100)),1,100))</f>
        <v>Flat 12B</v>
      </c>
      <c r="C2" s="5" t="str">
        <f aca="false">TRIM(MID(SUBSTITUTE($A2,",",REPT(" ",100)),101,100))</f>
        <v>Sunrise Apartments</v>
      </c>
      <c r="D2" s="5" t="str">
        <f aca="false">TRIM(MID(SUBSTITUTE($A2,",",REPT(" ",100)),201,100))</f>
        <v>SG Highway</v>
      </c>
      <c r="E2" s="5" t="str">
        <f aca="false">TRIM(MID(SUBSTITUTE($A2,",",REPT(" ",100)),301,100))</f>
        <v>Ahmedabad</v>
      </c>
    </row>
    <row r="3" customFormat="false" ht="15" hidden="false" customHeight="false" outlineLevel="0" collapsed="false">
      <c r="A3" s="5" t="s">
        <v>107</v>
      </c>
      <c r="B3" s="5" t="str">
        <f aca="false">TRIM(MID(SUBSTITUTE($A3,",",REPT(" ",100)),1,100))</f>
        <v>Flat 4A</v>
      </c>
      <c r="C3" s="5" t="str">
        <f aca="false">TRIM(MID(SUBSTITUTE($A3,",",REPT(" ",100)),101,100))</f>
        <v>Shreeji Heights</v>
      </c>
      <c r="D3" s="5" t="str">
        <f aca="false">TRIM(MID(SUBSTITUTE($A3,",",REPT(" ",100)),201,100))</f>
        <v>Ring Road</v>
      </c>
      <c r="E3" s="5" t="str">
        <f aca="false">TRIM(MID(SUBSTITUTE($A3,",",REPT(" ",100)),301,100))</f>
        <v>Surat</v>
      </c>
    </row>
    <row r="4" customFormat="false" ht="15" hidden="false" customHeight="false" outlineLevel="0" collapsed="false">
      <c r="A4" s="5" t="s">
        <v>108</v>
      </c>
      <c r="B4" s="5" t="str">
        <f aca="false">TRIM(MID(SUBSTITUTE($A4,",",REPT(" ",100)),1,100))</f>
        <v>House 22</v>
      </c>
      <c r="C4" s="5" t="str">
        <f aca="false">TRIM(MID(SUBSTITUTE($A4,",",REPT(" ",100)),101,100))</f>
        <v>Green Villa</v>
      </c>
      <c r="D4" s="5" t="str">
        <f aca="false">TRIM(MID(SUBSTITUTE($A4,",",REPT(" ",100)),201,100))</f>
        <v>Alkapuri</v>
      </c>
      <c r="E4" s="5" t="str">
        <f aca="false">TRIM(MID(SUBSTITUTE($A4,",",REPT(" ",100)),301,100))</f>
        <v>Vadodara</v>
      </c>
    </row>
    <row r="5" customFormat="false" ht="15" hidden="false" customHeight="false" outlineLevel="0" collapsed="false">
      <c r="A5" s="5" t="s">
        <v>109</v>
      </c>
      <c r="B5" s="5" t="str">
        <f aca="false">TRIM(MID(SUBSTITUTE($A5,",",REPT(" ",100)),1,100))</f>
        <v>Flat 301</v>
      </c>
      <c r="C5" s="5" t="str">
        <f aca="false">TRIM(MID(SUBSTITUTE($A5,",",REPT(" ",100)),101,100))</f>
        <v>Royal Residency</v>
      </c>
      <c r="D5" s="5" t="str">
        <f aca="false">TRIM(MID(SUBSTITUTE($A5,",",REPT(" ",100)),201,100))</f>
        <v>150 Feet Road</v>
      </c>
      <c r="E5" s="5" t="str">
        <f aca="false">TRIM(MID(SUBSTITUTE($A5,",",REPT(" ",100)),301,100))</f>
        <v>Rajkot</v>
      </c>
    </row>
    <row r="6" customFormat="false" ht="15" hidden="false" customHeight="false" outlineLevel="0" collapsed="false">
      <c r="A6" s="5" t="s">
        <v>110</v>
      </c>
      <c r="B6" s="5" t="str">
        <f aca="false">TRIM(MID(SUBSTITUTE($A6,",",REPT(" ",100)),1,100))</f>
        <v>Flat 8C</v>
      </c>
      <c r="C6" s="5" t="str">
        <f aca="false">TRIM(MID(SUBSTITUTE($A6,",",REPT(" ",100)),101,100))</f>
        <v>Lake View</v>
      </c>
      <c r="D6" s="5" t="str">
        <f aca="false">TRIM(MID(SUBSTITUTE($A6,",",REPT(" ",100)),201,100))</f>
        <v>Baner Road</v>
      </c>
      <c r="E6" s="5" t="str">
        <f aca="false">TRIM(MID(SUBSTITUTE($A6,",",REPT(" ",100)),301,100))</f>
        <v>Pune</v>
      </c>
    </row>
    <row r="7" customFormat="false" ht="15" hidden="false" customHeight="false" outlineLevel="0" collapsed="false">
      <c r="A7" s="5" t="s">
        <v>111</v>
      </c>
      <c r="B7" s="5" t="str">
        <f aca="false">TRIM(MID(SUBSTITUTE($A7,",",REPT(" ",100)),1,100))</f>
        <v>Flat 15</v>
      </c>
      <c r="C7" s="5" t="str">
        <f aca="false">TRIM(MID(SUBSTITUTE($A7,",",REPT(" ",100)),101,100))</f>
        <v>Sea Breeze</v>
      </c>
      <c r="D7" s="5" t="str">
        <f aca="false">TRIM(MID(SUBSTITUTE($A7,",",REPT(" ",100)),201,100))</f>
        <v>Marine Drive</v>
      </c>
      <c r="E7" s="5" t="str">
        <f aca="false">TRIM(MID(SUBSTITUTE($A7,",",REPT(" ",100)),301,100))</f>
        <v>Mumbai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</cols>
  <sheetData>
    <row r="1" customFormat="false" ht="15" hidden="false" customHeight="false" outlineLevel="0" collapsed="false">
      <c r="A1" s="3" t="s">
        <v>112</v>
      </c>
      <c r="B1" s="3" t="s">
        <v>113</v>
      </c>
    </row>
    <row r="2" customFormat="false" ht="15" hidden="false" customHeight="false" outlineLevel="0" collapsed="false">
      <c r="A2" s="5" t="s">
        <v>114</v>
      </c>
      <c r="B2" s="5" t="str">
        <f aca="false">LEFT(A2,FIND("@",A2)-1)</f>
        <v>rahul.patel99</v>
      </c>
    </row>
    <row r="3" customFormat="false" ht="15" hidden="false" customHeight="false" outlineLevel="0" collapsed="false">
      <c r="A3" s="5" t="s">
        <v>115</v>
      </c>
      <c r="B3" s="5" t="str">
        <f aca="false">LEFT(A3,FIND("@",A3)-1)</f>
        <v>sneha_shah21</v>
      </c>
    </row>
    <row r="4" customFormat="false" ht="15" hidden="false" customHeight="false" outlineLevel="0" collapsed="false">
      <c r="A4" s="5" t="s">
        <v>116</v>
      </c>
      <c r="B4" s="5" t="str">
        <f aca="false">LEFT(A4,FIND("@",A4)-1)</f>
        <v>kunal.mehta</v>
      </c>
    </row>
    <row r="5" customFormat="false" ht="15" hidden="false" customHeight="false" outlineLevel="0" collapsed="false">
      <c r="A5" s="5" t="s">
        <v>117</v>
      </c>
      <c r="B5" s="5" t="str">
        <f aca="false">LEFT(A5,FIND("@",A5)-1)</f>
        <v>pooja.rana07</v>
      </c>
    </row>
    <row r="6" customFormat="false" ht="15" hidden="false" customHeight="false" outlineLevel="0" collapsed="false">
      <c r="A6" s="5" t="s">
        <v>118</v>
      </c>
      <c r="B6" s="5" t="str">
        <f aca="false">LEFT(A6,FIND("@",A6)-1)</f>
        <v>arjun.s1998</v>
      </c>
    </row>
    <row r="7" customFormat="false" ht="15" hidden="false" customHeight="false" outlineLevel="0" collapsed="false">
      <c r="A7" s="5" t="s">
        <v>119</v>
      </c>
      <c r="B7" s="5" t="str">
        <f aca="false">LEFT(A7,FIND("@",A7)-1)</f>
        <v>nisha.verma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3" t="s">
        <v>120</v>
      </c>
      <c r="B1" s="3" t="s">
        <v>121</v>
      </c>
    </row>
    <row r="2" customFormat="false" ht="15" hidden="false" customHeight="false" outlineLevel="0" collapsed="false">
      <c r="A2" s="7" t="s">
        <v>122</v>
      </c>
      <c r="B2" s="7" t="str">
        <f aca="false">IF(LEFT(A2,2)="98","99"&amp;MID(A2,3,8),A2)</f>
        <v>9976543210</v>
      </c>
    </row>
    <row r="3" customFormat="false" ht="15" hidden="false" customHeight="false" outlineLevel="0" collapsed="false">
      <c r="A3" s="7" t="s">
        <v>123</v>
      </c>
      <c r="B3" s="7" t="str">
        <f aca="false">IF(LEFT(A3,2)="98","99"&amp;MID(A3,3,8),A3)</f>
        <v>9912345678</v>
      </c>
    </row>
    <row r="4" customFormat="false" ht="15" hidden="false" customHeight="false" outlineLevel="0" collapsed="false">
      <c r="A4" s="7" t="s">
        <v>124</v>
      </c>
      <c r="B4" s="7" t="str">
        <f aca="false">IF(LEFT(A4,2)="98","99"&amp;MID(A4,3,8),A4)</f>
        <v>9712345098</v>
      </c>
    </row>
    <row r="5" customFormat="false" ht="15" hidden="false" customHeight="false" outlineLevel="0" collapsed="false">
      <c r="A5" s="7" t="s">
        <v>125</v>
      </c>
      <c r="B5" s="7" t="str">
        <f aca="false">IF(LEFT(A5,2)="98","99"&amp;MID(A5,3,8),A5)</f>
        <v>9998989898</v>
      </c>
    </row>
    <row r="6" customFormat="false" ht="15" hidden="false" customHeight="false" outlineLevel="0" collapsed="false">
      <c r="A6" s="7" t="s">
        <v>126</v>
      </c>
      <c r="B6" s="7" t="str">
        <f aca="false">IF(LEFT(A6,2)="98","99"&amp;MID(A6,3,8),A6)</f>
        <v>8765432109</v>
      </c>
    </row>
    <row r="7" customFormat="false" ht="15" hidden="false" customHeight="false" outlineLevel="0" collapsed="false">
      <c r="A7" s="7" t="s">
        <v>127</v>
      </c>
      <c r="B7" s="7" t="str">
        <f aca="false">IF(LEFT(A7,2)="98","99"&amp;MID(A7,3,8),A7)</f>
        <v>9998887776</v>
      </c>
    </row>
    <row r="8" customFormat="false" ht="15" hidden="false" customHeight="false" outlineLevel="0" collapsed="false">
      <c r="A8" s="7" t="s">
        <v>128</v>
      </c>
      <c r="B8" s="7" t="str">
        <f aca="false">IF(LEFT(A8,2)="98","99"&amp;MID(A8,3,8),A8)</f>
        <v>9945012345</v>
      </c>
    </row>
    <row r="9" customFormat="false" ht="15" hidden="false" customHeight="false" outlineLevel="0" collapsed="false">
      <c r="A9" s="7" t="s">
        <v>129</v>
      </c>
      <c r="B9" s="7" t="str">
        <f aca="false">IF(LEFT(A9,2)="98","99"&amp;MID(A9,3,8),A9)</f>
        <v>7698543210</v>
      </c>
    </row>
    <row r="10" customFormat="false" ht="15" hidden="false" customHeight="false" outlineLevel="0" collapsed="false">
      <c r="A10" s="7" t="s">
        <v>130</v>
      </c>
      <c r="B10" s="7" t="str">
        <f aca="false">IF(LEFT(A10,2)="98","99"&amp;MID(A10,3,8),A10)</f>
        <v>9901122334</v>
      </c>
    </row>
    <row r="11" customFormat="false" ht="15" hidden="false" customHeight="false" outlineLevel="0" collapsed="false">
      <c r="A11" s="7" t="s">
        <v>131</v>
      </c>
      <c r="B11" s="7" t="str">
        <f aca="false">IF(LEFT(A11,2)="98","99"&amp;MID(A11,3,8),A11)</f>
        <v>9123456789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9"/>
    <col collapsed="false" customWidth="true" hidden="false" outlineLevel="0" max="4" min="4" style="0" width="17"/>
    <col collapsed="false" customWidth="true" hidden="false" outlineLevel="0" max="5" min="5" style="0" width="28"/>
    <col collapsed="false" customWidth="true" hidden="false" outlineLevel="0" max="7" min="7" style="0" width="45"/>
  </cols>
  <sheetData>
    <row r="1" customFormat="false" ht="15" hidden="false" customHeight="false" outlineLevel="0" collapsed="false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G1" s="6" t="s">
        <v>137</v>
      </c>
    </row>
    <row r="2" customFormat="false" ht="15" hidden="false" customHeight="false" outlineLevel="0" collapsed="false">
      <c r="A2" s="5" t="s">
        <v>138</v>
      </c>
      <c r="B2" s="5" t="n">
        <v>639</v>
      </c>
      <c r="C2" s="5" t="n">
        <v>460</v>
      </c>
      <c r="D2" s="8" t="n">
        <f aca="false">B2/C2*100</f>
        <v>138.913043478261</v>
      </c>
      <c r="E2" s="8" t="n">
        <f aca="false">B2*100/C2</f>
        <v>138.913043478261</v>
      </c>
    </row>
    <row r="3" customFormat="false" ht="15" hidden="false" customHeight="false" outlineLevel="0" collapsed="false">
      <c r="A3" s="5" t="s">
        <v>139</v>
      </c>
      <c r="B3" s="5" t="n">
        <v>417</v>
      </c>
      <c r="C3" s="5" t="n">
        <v>0</v>
      </c>
      <c r="D3" s="8" t="e">
        <f aca="false">B3/C3*100</f>
        <v>#DIV/0!</v>
      </c>
      <c r="E3" s="8" t="e">
        <f aca="false">B3*100/C3</f>
        <v>#DIV/0!</v>
      </c>
    </row>
    <row r="4" customFormat="false" ht="15" hidden="false" customHeight="false" outlineLevel="0" collapsed="false">
      <c r="A4" s="5" t="s">
        <v>140</v>
      </c>
      <c r="B4" s="5" t="s">
        <v>141</v>
      </c>
      <c r="C4" s="5" t="n">
        <v>505</v>
      </c>
      <c r="D4" s="8" t="e">
        <f aca="false">B4/C4*100</f>
        <v>#VALUE!</v>
      </c>
      <c r="E4" s="8" t="e">
        <f aca="false">B4*100/C4</f>
        <v>#VALUE!</v>
      </c>
    </row>
    <row r="5" customFormat="false" ht="15" hidden="false" customHeight="false" outlineLevel="0" collapsed="false">
      <c r="A5" s="5" t="s">
        <v>142</v>
      </c>
      <c r="B5" s="5" t="n">
        <v>520</v>
      </c>
      <c r="C5" s="5" t="n">
        <v>380</v>
      </c>
      <c r="D5" s="8" t="n">
        <f aca="false">B5/C5*100</f>
        <v>136.842105263158</v>
      </c>
      <c r="E5" s="8" t="n">
        <f aca="false">B5*100/C5</f>
        <v>136.842105263158</v>
      </c>
    </row>
    <row r="6" customFormat="false" ht="15" hidden="false" customHeight="false" outlineLevel="0" collapsed="false">
      <c r="A6" s="5" t="s">
        <v>143</v>
      </c>
      <c r="B6" s="5" t="n">
        <v>284</v>
      </c>
      <c r="C6" s="5" t="n">
        <v>0</v>
      </c>
      <c r="D6" s="8" t="e">
        <f aca="false">B6/C6*100</f>
        <v>#DIV/0!</v>
      </c>
      <c r="E6" s="8" t="e">
        <f aca="false">B6*100/C6</f>
        <v>#DIV/0!</v>
      </c>
    </row>
    <row r="7" customFormat="false" ht="15" hidden="false" customHeight="false" outlineLevel="0" collapsed="false">
      <c r="A7" s="5" t="s">
        <v>144</v>
      </c>
      <c r="B7" s="5" t="s">
        <v>145</v>
      </c>
      <c r="C7" s="5" t="n">
        <v>150</v>
      </c>
      <c r="D7" s="8" t="e">
        <f aca="false">B7/C7*100</f>
        <v>#VALUE!</v>
      </c>
      <c r="E7" s="8" t="e">
        <f aca="false">B7*100/C7</f>
        <v>#VALUE!</v>
      </c>
    </row>
    <row r="8" customFormat="false" ht="15" hidden="false" customHeight="false" outlineLevel="0" collapsed="false">
      <c r="A8" s="5" t="s">
        <v>146</v>
      </c>
      <c r="B8" s="5" t="n">
        <v>583</v>
      </c>
      <c r="C8" s="5" t="n">
        <v>430</v>
      </c>
      <c r="D8" s="8" t="n">
        <f aca="false">B8/C8*100</f>
        <v>135.581395348837</v>
      </c>
      <c r="E8" s="8" t="n">
        <f aca="false">B8*100/C8</f>
        <v>135.581395348837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9"/>
    <col collapsed="false" customWidth="true" hidden="false" outlineLevel="0" max="4" min="4" style="0" width="17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3" t="s">
        <v>132</v>
      </c>
      <c r="B1" s="3" t="s">
        <v>133</v>
      </c>
      <c r="C1" s="3" t="s">
        <v>134</v>
      </c>
      <c r="D1" s="3" t="s">
        <v>135</v>
      </c>
      <c r="F1" s="6" t="s">
        <v>147</v>
      </c>
    </row>
    <row r="2" customFormat="false" ht="15" hidden="false" customHeight="false" outlineLevel="0" collapsed="false">
      <c r="A2" s="5" t="s">
        <v>138</v>
      </c>
      <c r="B2" s="5" t="n">
        <v>639</v>
      </c>
      <c r="C2" s="5" t="n">
        <v>460</v>
      </c>
      <c r="D2" s="8" t="n">
        <f aca="false">IFERROR(IF(C2=0,0,B2/C2*100),0)</f>
        <v>138.913043478261</v>
      </c>
    </row>
    <row r="3" customFormat="false" ht="15" hidden="false" customHeight="false" outlineLevel="0" collapsed="false">
      <c r="A3" s="5" t="s">
        <v>139</v>
      </c>
      <c r="B3" s="5" t="n">
        <v>417</v>
      </c>
      <c r="C3" s="5" t="n">
        <v>0</v>
      </c>
      <c r="D3" s="8" t="n">
        <f aca="false">IFERROR(IF(C3=0,0,B3/C3*100),0)</f>
        <v>0</v>
      </c>
    </row>
    <row r="4" customFormat="false" ht="15" hidden="false" customHeight="false" outlineLevel="0" collapsed="false">
      <c r="A4" s="5" t="s">
        <v>140</v>
      </c>
      <c r="B4" s="5" t="n">
        <v>0</v>
      </c>
      <c r="C4" s="5" t="n">
        <v>505</v>
      </c>
      <c r="D4" s="8" t="n">
        <f aca="false">IFERROR(IF(C4=0,0,B4/C4*100),0)</f>
        <v>0</v>
      </c>
    </row>
    <row r="5" customFormat="false" ht="15" hidden="false" customHeight="false" outlineLevel="0" collapsed="false">
      <c r="A5" s="5" t="s">
        <v>142</v>
      </c>
      <c r="B5" s="5" t="n">
        <v>520</v>
      </c>
      <c r="C5" s="5" t="n">
        <v>380</v>
      </c>
      <c r="D5" s="8" t="n">
        <f aca="false">IFERROR(IF(C5=0,0,B5/C5*100),0)</f>
        <v>136.842105263158</v>
      </c>
    </row>
    <row r="6" customFormat="false" ht="15" hidden="false" customHeight="false" outlineLevel="0" collapsed="false">
      <c r="A6" s="5" t="s">
        <v>143</v>
      </c>
      <c r="B6" s="5" t="n">
        <v>284</v>
      </c>
      <c r="C6" s="5" t="n">
        <v>0</v>
      </c>
      <c r="D6" s="8" t="n">
        <f aca="false">IFERROR(IF(C6=0,0,B6/C6*100),0)</f>
        <v>0</v>
      </c>
    </row>
    <row r="7" customFormat="false" ht="15" hidden="false" customHeight="false" outlineLevel="0" collapsed="false">
      <c r="A7" s="5" t="s">
        <v>144</v>
      </c>
      <c r="B7" s="5" t="n">
        <v>0</v>
      </c>
      <c r="C7" s="5" t="n">
        <v>150</v>
      </c>
      <c r="D7" s="8" t="n">
        <f aca="false">IFERROR(IF(C7=0,0,B7/C7*100),0)</f>
        <v>0</v>
      </c>
    </row>
    <row r="8" customFormat="false" ht="15" hidden="false" customHeight="false" outlineLevel="0" collapsed="false">
      <c r="A8" s="5" t="s">
        <v>146</v>
      </c>
      <c r="B8" s="5" t="n">
        <v>583</v>
      </c>
      <c r="C8" s="5" t="n">
        <v>430</v>
      </c>
      <c r="D8" s="8" t="n">
        <f aca="false">IFERROR(IF(C8=0,0,B8/C8*100),0)</f>
        <v>135.581395348837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2026-10-03T09:17:51Z</dcterms:created>
  <dc:creator>openpyxl</dc:creator>
  <dc:description/>
  <dc:language>en-US</dc:language>
  <cp:lastModifiedBy/>
  <dcterms:modified xsi:type="dcterms:W3CDTF">2026-10-03T09:17:51Z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